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y" sheetId="1" r:id="rId4"/>
    <sheet state="visible" name="Answer" sheetId="2" r:id="rId5"/>
  </sheets>
  <definedNames>
    <definedName hidden="1" localSheetId="1" name="Z_56BB1524_7204_4D0A_B215_0743F716DE24_.wvu.FilterData">Answer!$A$19:$C$24</definedName>
    <definedName name="SlicerCache_Table_1_Col_1">#N/A</definedName>
  </definedNames>
  <calcPr/>
  <customWorkbookViews>
    <customWorkbookView activeSheetId="0" maximized="1" windowHeight="0" windowWidth="0" guid="{56BB1524-7204-4D0A-B215-0743F716DE24}" name="Filter 1"/>
  </customWorkbookViews>
  <extLst>
    <ext uri="{46BE6895-7355-4a93-B00E-2C351335B9C9}">
      <x15:slicerCaches>
        <x14:slicerCache r:id="rId6"/>
      </x15:slicerCaches>
    </ext>
  </extLst>
</workbook>
</file>

<file path=xl/sharedStrings.xml><?xml version="1.0" encoding="utf-8"?>
<sst xmlns="http://schemas.openxmlformats.org/spreadsheetml/2006/main" count="51" uniqueCount="35">
  <si>
    <t>Acme Widgets</t>
  </si>
  <si>
    <t xml:space="preserve">Sales Performance Ranking Report </t>
  </si>
  <si>
    <t>May 2014</t>
  </si>
  <si>
    <t>Person 1</t>
  </si>
  <si>
    <t>Person 2</t>
  </si>
  <si>
    <t>Person 3</t>
  </si>
  <si>
    <t>Person 4</t>
  </si>
  <si>
    <t>Person 5</t>
  </si>
  <si>
    <t>Total</t>
  </si>
  <si>
    <t>UNIT COUNT</t>
  </si>
  <si>
    <t>Total Units</t>
  </si>
  <si>
    <t>Whatsits</t>
  </si>
  <si>
    <t>Doohickeys</t>
  </si>
  <si>
    <t>Gadgets</t>
  </si>
  <si>
    <t>Bahbooms</t>
  </si>
  <si>
    <t>Heehaws</t>
  </si>
  <si>
    <t>Doodads</t>
  </si>
  <si>
    <t>Meemaws</t>
  </si>
  <si>
    <t>Whatchamacallits</t>
  </si>
  <si>
    <t>PENETRATION</t>
  </si>
  <si>
    <t>Product Index</t>
  </si>
  <si>
    <t>Combined Index</t>
  </si>
  <si>
    <t>INCOME</t>
  </si>
  <si>
    <t>Total Income</t>
  </si>
  <si>
    <t>PRU</t>
  </si>
  <si>
    <t>RANKINGS</t>
  </si>
  <si>
    <t>FINAL</t>
  </si>
  <si>
    <t>Total Score</t>
  </si>
  <si>
    <t>Rank</t>
  </si>
  <si>
    <t>Sales Representative</t>
  </si>
  <si>
    <t>** First of all I created a simple table from source data. Then I inplaced data on 5 scorecard charts. I think for this data we do not need 5 seperate chart we can show all data in one chart. I put an example below</t>
  </si>
  <si>
    <t>Rank by Total Score</t>
  </si>
  <si>
    <t>Sales Representetive</t>
  </si>
  <si>
    <t xml:space="preserve"> I created another data table from source data.I added a slicer for one chart we can filter the persons from slicer line</t>
  </si>
  <si>
    <t>I created a horizontal bar chart for unit counts per reson from source data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</si>
</sst>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quot;-&quot;yy"/>
    <numFmt numFmtId="165" formatCode="_-&quot;$&quot;* #,##0_-;_-&quot;$&quot;* \(#,##0\)_-;_-&quot;$&quot;* &quot;-&quot;??;_-@"/>
  </numFmts>
  <fonts count="20">
    <font>
      <sz val="11.0"/>
      <color rgb="FF000000"/>
      <name val="Helvetica Neue"/>
      <scheme val="minor"/>
    </font>
    <font>
      <sz val="36.0"/>
      <color rgb="FF993300"/>
      <name val="Arial"/>
    </font>
    <font>
      <sz val="12.0"/>
      <color rgb="FF000000"/>
      <name val="Merriweather Sans"/>
    </font>
    <font>
      <sz val="14.0"/>
      <color rgb="FF000000"/>
      <name val="Arial"/>
    </font>
    <font>
      <sz val="14.0"/>
      <color rgb="FF993300"/>
      <name val="Arial"/>
    </font>
    <font>
      <sz val="14.0"/>
      <color rgb="FF000090"/>
      <name val="Arial"/>
    </font>
    <font>
      <i/>
      <sz val="14.0"/>
      <color rgb="FF000000"/>
      <name val="Arial"/>
    </font>
    <font>
      <i/>
      <sz val="16.0"/>
      <color rgb="FFFFFFFF"/>
      <name val="Arial"/>
    </font>
    <font>
      <sz val="16.0"/>
      <color rgb="FFFFFFFF"/>
      <name val="Arial"/>
    </font>
    <font>
      <i/>
      <sz val="16.0"/>
      <color rgb="FF993300"/>
      <name val="Arial"/>
    </font>
    <font>
      <i/>
      <sz val="16.0"/>
      <color rgb="FF003366"/>
      <name val="Arial"/>
    </font>
    <font>
      <sz val="16.0"/>
      <color rgb="FF003366"/>
      <name val="Arial"/>
    </font>
    <font>
      <i/>
      <sz val="16.0"/>
      <color rgb="FF000000"/>
      <name val="Arial"/>
    </font>
    <font>
      <sz val="16.0"/>
      <color rgb="FF000000"/>
      <name val="Arial"/>
    </font>
    <font>
      <sz val="16.0"/>
      <color rgb="FF993300"/>
      <name val="Arial"/>
    </font>
    <font>
      <sz val="11.0"/>
      <color theme="1"/>
      <name val="Times"/>
    </font>
    <font>
      <i/>
      <sz val="11.0"/>
      <color rgb="FFFFFFFF"/>
      <name val="Times"/>
    </font>
    <font>
      <sz val="11.0"/>
      <color rgb="FFFFFFFF"/>
      <name val="Times"/>
    </font>
    <font>
      <color theme="1"/>
      <name val="Helvetica Neue"/>
      <scheme val="minor"/>
    </font>
    <font>
      <sz val="11.0"/>
      <color theme="1"/>
      <name val="Arial"/>
    </font>
  </fonts>
  <fills count="7">
    <fill>
      <patternFill patternType="none"/>
    </fill>
    <fill>
      <patternFill patternType="lightGray"/>
    </fill>
    <fill>
      <patternFill patternType="solid">
        <fgColor rgb="FFFFFFFF"/>
        <bgColor rgb="FFFFFFFF"/>
      </patternFill>
    </fill>
    <fill>
      <patternFill patternType="solid">
        <fgColor rgb="FF003366"/>
        <bgColor rgb="FF003366"/>
      </patternFill>
    </fill>
    <fill>
      <patternFill patternType="solid">
        <fgColor rgb="FFCCFFFF"/>
        <bgColor rgb="FFCCFFFF"/>
      </patternFill>
    </fill>
    <fill>
      <patternFill patternType="solid">
        <fgColor rgb="FFFCF305"/>
        <bgColor rgb="FFFCF305"/>
      </patternFill>
    </fill>
    <fill>
      <patternFill patternType="solid">
        <fgColor rgb="FFB7E1CD"/>
        <bgColor rgb="FFB7E1CD"/>
      </patternFill>
    </fill>
  </fills>
  <borders count="26">
    <border/>
    <border>
      <left/>
      <right/>
      <top/>
      <bottom/>
    </border>
    <border>
      <left/>
      <right/>
      <top/>
      <bottom style="medium">
        <color rgb="FF000000"/>
      </bottom>
    </border>
    <border>
      <left/>
      <right style="medium">
        <color rgb="FF000000"/>
      </right>
      <top/>
      <bottom/>
    </border>
    <border>
      <left style="medium">
        <color rgb="FF000000"/>
      </left>
      <right style="medium">
        <color rgb="FF000000"/>
      </right>
      <top style="medium">
        <color rgb="FF000000"/>
      </top>
      <bottom style="medium">
        <color rgb="FF000000"/>
      </bottom>
    </border>
    <border>
      <left/>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style="medium">
        <color rgb="FF000000"/>
      </top>
      <bottom/>
    </border>
    <border>
      <right style="medium">
        <color rgb="FF000000"/>
      </right>
    </border>
    <border>
      <left style="medium">
        <color rgb="FF000000"/>
      </left>
      <right style="medium">
        <color rgb="FF000000"/>
      </right>
      <bottom style="thin">
        <color rgb="FF000000"/>
      </bottom>
    </border>
    <border>
      <right style="medium">
        <color rgb="FF000000"/>
      </right>
      <top style="medium">
        <color rgb="FF000000"/>
      </top>
      <bottom style="medium">
        <color rgb="FF000000"/>
      </bottom>
    </border>
    <border>
      <right style="thin">
        <color rgb="FF000000"/>
      </right>
      <bottom style="thin">
        <color rgb="FF000000"/>
      </bottom>
    </border>
    <border>
      <right style="medium">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0"/>
    </xf>
    <xf borderId="1" fillId="2" fontId="1" numFmtId="0" xfId="0" applyAlignment="1" applyBorder="1" applyFont="1">
      <alignment shrinkToFit="0" vertical="center" wrapText="0"/>
    </xf>
    <xf borderId="0" fillId="0" fontId="2" numFmtId="0" xfId="0" applyAlignment="1" applyFont="1">
      <alignment shrinkToFit="0" vertical="bottom" wrapText="0"/>
    </xf>
    <xf borderId="1" fillId="2" fontId="3" numFmtId="0" xfId="0" applyAlignment="1" applyBorder="1" applyFont="1">
      <alignment shrinkToFit="0" vertical="center" wrapText="0"/>
    </xf>
    <xf borderId="1" fillId="2" fontId="4" numFmtId="0" xfId="0" applyAlignment="1" applyBorder="1" applyFont="1">
      <alignment shrinkToFit="0" vertical="center" wrapText="0"/>
    </xf>
    <xf borderId="1" fillId="2" fontId="4" numFmtId="49" xfId="0" applyAlignment="1" applyBorder="1" applyFont="1" applyNumberFormat="1">
      <alignment shrinkToFit="0" vertical="center" wrapText="0"/>
    </xf>
    <xf borderId="1" fillId="2" fontId="5" numFmtId="164" xfId="0" applyAlignment="1" applyBorder="1" applyFont="1" applyNumberFormat="1">
      <alignment horizontal="center" shrinkToFit="0" vertical="center" wrapText="0"/>
    </xf>
    <xf borderId="2" fillId="2" fontId="5" numFmtId="164" xfId="0" applyAlignment="1" applyBorder="1" applyFont="1" applyNumberFormat="1">
      <alignment horizontal="center" shrinkToFit="0" vertical="center" wrapText="0"/>
    </xf>
    <xf borderId="2" fillId="2" fontId="2" numFmtId="0" xfId="0" applyAlignment="1" applyBorder="1" applyFont="1">
      <alignment shrinkToFit="0" vertical="bottom" wrapText="0"/>
    </xf>
    <xf borderId="3" fillId="2" fontId="6" numFmtId="0" xfId="0" applyAlignment="1" applyBorder="1" applyFont="1">
      <alignment shrinkToFit="0" vertical="center" wrapText="0"/>
    </xf>
    <xf borderId="4" fillId="3" fontId="7" numFmtId="0" xfId="0" applyAlignment="1" applyBorder="1" applyFill="1" applyFont="1">
      <alignment horizontal="center" shrinkToFit="0" vertical="center" wrapText="1"/>
    </xf>
    <xf borderId="4" fillId="3" fontId="8" numFmtId="0" xfId="0" applyAlignment="1" applyBorder="1" applyFont="1">
      <alignment horizontal="center" shrinkToFit="0" vertical="center" wrapText="1"/>
    </xf>
    <xf borderId="2" fillId="2" fontId="9" numFmtId="0" xfId="0" applyAlignment="1" applyBorder="1" applyFont="1">
      <alignment shrinkToFit="0" vertical="center" wrapText="0"/>
    </xf>
    <xf borderId="5" fillId="2" fontId="10" numFmtId="0" xfId="0" applyAlignment="1" applyBorder="1" applyFont="1">
      <alignment shrinkToFit="0" vertical="center" wrapText="0"/>
    </xf>
    <xf borderId="5" fillId="2" fontId="11" numFmtId="0" xfId="0" applyAlignment="1" applyBorder="1" applyFont="1">
      <alignment shrinkToFit="0" vertical="center" wrapText="0"/>
    </xf>
    <xf borderId="6" fillId="2" fontId="6" numFmtId="0" xfId="0" applyAlignment="1" applyBorder="1" applyFont="1">
      <alignment horizontal="right" shrinkToFit="0" vertical="center" wrapText="0"/>
    </xf>
    <xf borderId="7" fillId="2" fontId="12" numFmtId="0" xfId="0" applyAlignment="1" applyBorder="1" applyFont="1">
      <alignment horizontal="center" shrinkToFit="0" vertical="center" wrapText="0"/>
    </xf>
    <xf borderId="8" fillId="2" fontId="12" numFmtId="0" xfId="0" applyAlignment="1" applyBorder="1" applyFont="1">
      <alignment horizontal="center" shrinkToFit="0" vertical="center" wrapText="0"/>
    </xf>
    <xf borderId="9" fillId="2" fontId="12" numFmtId="0" xfId="0" applyAlignment="1" applyBorder="1" applyFont="1">
      <alignment horizontal="center" shrinkToFit="0" vertical="center" wrapText="0"/>
    </xf>
    <xf borderId="6" fillId="2" fontId="13" numFmtId="0" xfId="0" applyAlignment="1" applyBorder="1" applyFont="1">
      <alignment horizontal="center" shrinkToFit="0" vertical="center" wrapText="0"/>
    </xf>
    <xf borderId="10" fillId="2" fontId="3" numFmtId="0" xfId="0" applyAlignment="1" applyBorder="1" applyFont="1">
      <alignment horizontal="right" shrinkToFit="0" vertical="center" wrapText="0"/>
    </xf>
    <xf borderId="11" fillId="2" fontId="13" numFmtId="0" xfId="0" applyAlignment="1" applyBorder="1" applyFont="1">
      <alignment horizontal="center" shrinkToFit="0" vertical="center" wrapText="0"/>
    </xf>
    <xf borderId="12" fillId="2" fontId="13" numFmtId="0" xfId="0" applyAlignment="1" applyBorder="1" applyFont="1">
      <alignment horizontal="center" shrinkToFit="0" vertical="center" wrapText="0"/>
    </xf>
    <xf borderId="13" fillId="2" fontId="13" numFmtId="0" xfId="0" applyAlignment="1" applyBorder="1" applyFont="1">
      <alignment horizontal="center" shrinkToFit="0" vertical="center" wrapText="0"/>
    </xf>
    <xf borderId="10" fillId="2" fontId="13" numFmtId="0" xfId="0" applyAlignment="1" applyBorder="1" applyFont="1">
      <alignment horizontal="center" shrinkToFit="0" vertical="center" wrapText="0"/>
    </xf>
    <xf borderId="5" fillId="2" fontId="14" numFmtId="0" xfId="0" applyAlignment="1" applyBorder="1" applyFont="1">
      <alignment shrinkToFit="0" vertical="center" wrapText="0"/>
    </xf>
    <xf borderId="6" fillId="2" fontId="3" numFmtId="0" xfId="0" applyAlignment="1" applyBorder="1" applyFont="1">
      <alignment horizontal="right" shrinkToFit="0" vertical="center" wrapText="0"/>
    </xf>
    <xf borderId="7" fillId="2" fontId="13" numFmtId="9" xfId="0" applyAlignment="1" applyBorder="1" applyFont="1" applyNumberFormat="1">
      <alignment horizontal="center" shrinkToFit="0" vertical="center" wrapText="0"/>
    </xf>
    <xf borderId="8" fillId="2" fontId="13" numFmtId="9" xfId="0" applyAlignment="1" applyBorder="1" applyFont="1" applyNumberFormat="1">
      <alignment horizontal="center" shrinkToFit="0" vertical="center" wrapText="0"/>
    </xf>
    <xf borderId="9" fillId="2" fontId="13" numFmtId="9" xfId="0" applyAlignment="1" applyBorder="1" applyFont="1" applyNumberFormat="1">
      <alignment horizontal="center" shrinkToFit="0" vertical="center" wrapText="0"/>
    </xf>
    <xf borderId="6" fillId="2" fontId="13" numFmtId="9" xfId="0" applyAlignment="1" applyBorder="1" applyFont="1" applyNumberFormat="1">
      <alignment horizontal="center" shrinkToFit="0" vertical="center" wrapText="0"/>
    </xf>
    <xf borderId="11" fillId="2" fontId="13" numFmtId="9" xfId="0" applyAlignment="1" applyBorder="1" applyFont="1" applyNumberFormat="1">
      <alignment horizontal="center" shrinkToFit="0" vertical="center" wrapText="0"/>
    </xf>
    <xf borderId="12" fillId="2" fontId="13" numFmtId="9" xfId="0" applyAlignment="1" applyBorder="1" applyFont="1" applyNumberFormat="1">
      <alignment horizontal="center" shrinkToFit="0" vertical="center" wrapText="0"/>
    </xf>
    <xf borderId="13" fillId="2" fontId="13" numFmtId="9" xfId="0" applyAlignment="1" applyBorder="1" applyFont="1" applyNumberFormat="1">
      <alignment horizontal="center" shrinkToFit="0" vertical="center" wrapText="0"/>
    </xf>
    <xf borderId="10" fillId="2" fontId="13" numFmtId="9" xfId="0" applyAlignment="1" applyBorder="1" applyFont="1" applyNumberFormat="1">
      <alignment horizontal="center" shrinkToFit="0" vertical="center" wrapText="0"/>
    </xf>
    <xf borderId="11" fillId="2" fontId="13" numFmtId="2" xfId="0" applyAlignment="1" applyBorder="1" applyFont="1" applyNumberFormat="1">
      <alignment horizontal="center" shrinkToFit="0" vertical="center" wrapText="0"/>
    </xf>
    <xf borderId="14" fillId="2" fontId="3" numFmtId="0" xfId="0" applyAlignment="1" applyBorder="1" applyFont="1">
      <alignment horizontal="right" shrinkToFit="0" vertical="center" wrapText="0"/>
    </xf>
    <xf borderId="7" fillId="2" fontId="13" numFmtId="165" xfId="0" applyAlignment="1" applyBorder="1" applyFont="1" applyNumberFormat="1">
      <alignment horizontal="center" shrinkToFit="0" vertical="center" wrapText="0"/>
    </xf>
    <xf borderId="8" fillId="2" fontId="13" numFmtId="165" xfId="0" applyAlignment="1" applyBorder="1" applyFont="1" applyNumberFormat="1">
      <alignment horizontal="center" shrinkToFit="0" vertical="center" wrapText="0"/>
    </xf>
    <xf borderId="9" fillId="2" fontId="13" numFmtId="165" xfId="0" applyAlignment="1" applyBorder="1" applyFont="1" applyNumberFormat="1">
      <alignment horizontal="center" shrinkToFit="0" vertical="center" wrapText="0"/>
    </xf>
    <xf borderId="6" fillId="2" fontId="13" numFmtId="165" xfId="0" applyAlignment="1" applyBorder="1" applyFont="1" applyNumberFormat="1">
      <alignment horizontal="center" shrinkToFit="0" vertical="center" wrapText="0"/>
    </xf>
    <xf borderId="11" fillId="2" fontId="13" numFmtId="165" xfId="0" applyAlignment="1" applyBorder="1" applyFont="1" applyNumberFormat="1">
      <alignment horizontal="center" shrinkToFit="0" vertical="center" wrapText="0"/>
    </xf>
    <xf borderId="12" fillId="2" fontId="13" numFmtId="165" xfId="0" applyAlignment="1" applyBorder="1" applyFont="1" applyNumberFormat="1">
      <alignment horizontal="center" shrinkToFit="0" vertical="center" wrapText="0"/>
    </xf>
    <xf borderId="13" fillId="2" fontId="13" numFmtId="165" xfId="0" applyAlignment="1" applyBorder="1" applyFont="1" applyNumberFormat="1">
      <alignment horizontal="center" shrinkToFit="0" vertical="center" wrapText="0"/>
    </xf>
    <xf borderId="10" fillId="2" fontId="13" numFmtId="165" xfId="0" applyAlignment="1" applyBorder="1" applyFont="1" applyNumberFormat="1">
      <alignment horizontal="center" shrinkToFit="0" vertical="center" wrapText="0"/>
    </xf>
    <xf borderId="10" fillId="2" fontId="3" numFmtId="0" xfId="0" applyAlignment="1" applyBorder="1" applyFont="1">
      <alignment shrinkToFit="0" vertical="center" wrapText="0"/>
    </xf>
    <xf borderId="15" fillId="2" fontId="13" numFmtId="165" xfId="0" applyAlignment="1" applyBorder="1" applyFont="1" applyNumberFormat="1">
      <alignment horizontal="center" shrinkToFit="0" vertical="center" wrapText="0"/>
    </xf>
    <xf borderId="16" fillId="2" fontId="13" numFmtId="165" xfId="0" applyAlignment="1" applyBorder="1" applyFont="1" applyNumberFormat="1">
      <alignment horizontal="center" shrinkToFit="0" vertical="center" wrapText="0"/>
    </xf>
    <xf borderId="17" fillId="2" fontId="13" numFmtId="165" xfId="0" applyAlignment="1" applyBorder="1" applyFont="1" applyNumberFormat="1">
      <alignment horizontal="center" shrinkToFit="0" vertical="center" wrapText="0"/>
    </xf>
    <xf borderId="14" fillId="2" fontId="13" numFmtId="165" xfId="0" applyAlignment="1" applyBorder="1" applyFont="1" applyNumberFormat="1">
      <alignment horizontal="center" shrinkToFit="0" vertical="center" wrapText="0"/>
    </xf>
    <xf borderId="7" fillId="2" fontId="13" numFmtId="1" xfId="0" applyAlignment="1" applyBorder="1" applyFont="1" applyNumberFormat="1">
      <alignment horizontal="center" shrinkToFit="0" vertical="center" wrapText="0"/>
    </xf>
    <xf borderId="6" fillId="2" fontId="3" numFmtId="0" xfId="0" applyAlignment="1" applyBorder="1" applyFont="1">
      <alignment horizontal="center" shrinkToFit="0" vertical="center" wrapText="0"/>
    </xf>
    <xf borderId="10" fillId="2" fontId="3" numFmtId="0" xfId="0" applyAlignment="1" applyBorder="1" applyFont="1">
      <alignment horizontal="center" shrinkToFit="0" vertical="center" wrapText="0"/>
    </xf>
    <xf borderId="14" fillId="2" fontId="3" numFmtId="0" xfId="0" applyAlignment="1" applyBorder="1" applyFont="1">
      <alignment horizontal="center" shrinkToFit="0" vertical="center" wrapText="0"/>
    </xf>
    <xf borderId="7" fillId="4" fontId="13" numFmtId="3" xfId="0" applyAlignment="1" applyBorder="1" applyFill="1" applyFont="1" applyNumberFormat="1">
      <alignment horizontal="center" shrinkToFit="0" vertical="center" wrapText="0"/>
    </xf>
    <xf borderId="8" fillId="4" fontId="13" numFmtId="3" xfId="0" applyAlignment="1" applyBorder="1" applyFont="1" applyNumberFormat="1">
      <alignment horizontal="center" shrinkToFit="0" vertical="center" wrapText="0"/>
    </xf>
    <xf borderId="9" fillId="4" fontId="13" numFmtId="3" xfId="0" applyAlignment="1" applyBorder="1" applyFont="1" applyNumberFormat="1">
      <alignment horizontal="center" shrinkToFit="0" vertical="center" wrapText="0"/>
    </xf>
    <xf borderId="6" fillId="2" fontId="3" numFmtId="3" xfId="0" applyAlignment="1" applyBorder="1" applyFont="1" applyNumberFormat="1">
      <alignment horizontal="center" shrinkToFit="0" vertical="center" wrapText="0"/>
    </xf>
    <xf borderId="15" fillId="5" fontId="13" numFmtId="3" xfId="0" applyAlignment="1" applyBorder="1" applyFill="1" applyFont="1" applyNumberFormat="1">
      <alignment horizontal="center" shrinkToFit="0" vertical="center" wrapText="0"/>
    </xf>
    <xf borderId="16" fillId="5" fontId="13" numFmtId="3" xfId="0" applyAlignment="1" applyBorder="1" applyFont="1" applyNumberFormat="1">
      <alignment horizontal="center" shrinkToFit="0" vertical="center" wrapText="0"/>
    </xf>
    <xf borderId="17" fillId="5" fontId="13" numFmtId="3" xfId="0" applyAlignment="1" applyBorder="1" applyFont="1" applyNumberFormat="1">
      <alignment horizontal="center" shrinkToFit="0" vertical="center" wrapText="0"/>
    </xf>
    <xf borderId="14" fillId="2" fontId="3" numFmtId="3" xfId="0" applyAlignment="1" applyBorder="1" applyFont="1" applyNumberFormat="1">
      <alignment horizontal="center" shrinkToFit="0" vertical="center" wrapText="0"/>
    </xf>
    <xf borderId="18" fillId="2" fontId="2" numFmtId="0" xfId="0" applyAlignment="1" applyBorder="1" applyFont="1">
      <alignment shrinkToFit="0" vertical="bottom" wrapText="0"/>
    </xf>
    <xf borderId="19" fillId="2" fontId="15" numFmtId="0" xfId="0" applyAlignment="1" applyBorder="1" applyFont="1">
      <alignment horizontal="left" readingOrder="0" shrinkToFit="0" vertical="center" wrapText="1"/>
    </xf>
    <xf borderId="20" fillId="2" fontId="15" numFmtId="0" xfId="0" applyAlignment="1" applyBorder="1" applyFont="1">
      <alignment horizontal="left" shrinkToFit="0" vertical="center" wrapText="1"/>
    </xf>
    <xf borderId="21" fillId="3" fontId="16" numFmtId="0" xfId="0" applyAlignment="1" applyBorder="1" applyFont="1">
      <alignment horizontal="left" shrinkToFit="0" vertical="center" wrapText="1"/>
    </xf>
    <xf borderId="22" fillId="2" fontId="15" numFmtId="165" xfId="0" applyAlignment="1" applyBorder="1" applyFont="1" applyNumberFormat="1">
      <alignment horizontal="left" shrinkToFit="0" vertical="center" wrapText="1"/>
    </xf>
    <xf borderId="23" fillId="2" fontId="15" numFmtId="165" xfId="0" applyAlignment="1" applyBorder="1" applyFont="1" applyNumberFormat="1">
      <alignment horizontal="left" shrinkToFit="0" vertical="center" wrapText="1"/>
    </xf>
    <xf borderId="21" fillId="3" fontId="17" numFmtId="0" xfId="0" applyAlignment="1" applyBorder="1" applyFont="1">
      <alignment horizontal="left" shrinkToFit="0" vertical="center" wrapText="1"/>
    </xf>
    <xf borderId="0" fillId="0" fontId="18" numFmtId="0" xfId="0" applyAlignment="1" applyFont="1">
      <alignment readingOrder="0" shrinkToFit="0" vertical="top" wrapText="1"/>
    </xf>
    <xf borderId="0" fillId="0" fontId="18" numFmtId="0" xfId="0" applyAlignment="1" applyFont="1">
      <alignment vertical="top"/>
    </xf>
    <xf borderId="0" fillId="6" fontId="19" numFmtId="0" xfId="0" applyAlignment="1" applyFill="1" applyFont="1">
      <alignment readingOrder="0" shrinkToFit="0" vertical="bottom" wrapText="1"/>
    </xf>
    <xf borderId="12" fillId="6" fontId="19" numFmtId="0" xfId="0" applyAlignment="1" applyBorder="1" applyFont="1">
      <alignment shrinkToFit="0" vertical="bottom" wrapText="1"/>
    </xf>
    <xf borderId="24" fillId="6" fontId="19" numFmtId="0" xfId="0" applyAlignment="1" applyBorder="1" applyFont="1">
      <alignment shrinkToFit="0" vertical="bottom" wrapText="1"/>
    </xf>
    <xf borderId="25" fillId="6" fontId="19" numFmtId="0" xfId="0" applyAlignment="1" applyBorder="1" applyFont="1">
      <alignment shrinkToFit="0" vertical="bottom" wrapText="1"/>
    </xf>
    <xf borderId="22" fillId="6" fontId="19" numFmtId="3" xfId="0" applyAlignment="1" applyBorder="1" applyFont="1" applyNumberFormat="1">
      <alignment horizontal="right" shrinkToFit="0" vertical="bottom" wrapText="1"/>
    </xf>
    <xf borderId="0" fillId="0" fontId="18"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28</xdr:row>
      <xdr:rowOff>9525</xdr:rowOff>
    </xdr:from>
    <xdr:ext cx="2971800" cy="2857500"/>
    <mc:AlternateContent>
      <mc:Choice Requires="sle15">
        <xdr:graphicFrame>
          <xdr:nvGraphicFramePr>
            <xdr:cNvPr id="1" name="Sales Representetive_1"/>
            <xdr:cNvGraphicFramePr/>
          </xdr:nvGraphicFramePr>
          <xdr:xfrm>
            <a:off x="0" y="0"/>
            <a:ext cx="0" cy="0"/>
          </xdr:xfrm>
          <a:graphic>
            <a:graphicData uri="http://schemas.microsoft.com/office/drawing/2010/slicer">
              <x3Unk:slicer name="Sales Representetiv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Sales Representetive">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ales Representetive_1" cache="SlicerCache_Table_1_Col_1" caption="Sales Representetive" rowHeight="247650"/>
</x14:slicers>
</file>

<file path=xl/tables/table1.xml><?xml version="1.0" encoding="utf-8"?>
<table xmlns="http://schemas.openxmlformats.org/spreadsheetml/2006/main" ref="A19:C24" displayName="Table_1" name="Table_1" id="1">
  <autoFilter ref="$A$19:$C$24"/>
  <tableColumns count="3">
    <tableColumn name="Sales Representetive" id="1"/>
    <tableColumn name="Total Score" id="2"/>
    <tableColumn name="Rank" id="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0.0"/>
    <col customWidth="1" min="2" max="7" width="22.75"/>
    <col customWidth="1" min="8" max="26" width="10.0"/>
  </cols>
  <sheetData>
    <row r="1" ht="42.0" customHeight="1">
      <c r="A1" s="1" t="s">
        <v>0</v>
      </c>
      <c r="B1" s="2"/>
      <c r="C1" s="2"/>
      <c r="D1" s="2"/>
      <c r="E1" s="2"/>
      <c r="F1" s="2"/>
      <c r="G1" s="2"/>
      <c r="H1" s="3"/>
      <c r="I1" s="3"/>
      <c r="J1" s="3"/>
      <c r="K1" s="3"/>
      <c r="L1" s="3"/>
      <c r="M1" s="3"/>
      <c r="N1" s="3"/>
      <c r="O1" s="3"/>
      <c r="P1" s="3"/>
      <c r="Q1" s="3"/>
      <c r="R1" s="3"/>
      <c r="S1" s="3"/>
      <c r="T1" s="3"/>
      <c r="U1" s="3"/>
      <c r="V1" s="3"/>
      <c r="W1" s="3"/>
      <c r="X1" s="3"/>
      <c r="Y1" s="3"/>
      <c r="Z1" s="3"/>
    </row>
    <row r="2" ht="16.5" customHeight="1">
      <c r="A2" s="4" t="s">
        <v>1</v>
      </c>
      <c r="B2" s="5"/>
      <c r="C2" s="5"/>
      <c r="D2" s="5"/>
      <c r="E2" s="5"/>
      <c r="F2" s="5"/>
      <c r="G2" s="5"/>
      <c r="H2" s="3"/>
      <c r="I2" s="3"/>
      <c r="J2" s="3"/>
      <c r="K2" s="3"/>
      <c r="L2" s="3"/>
      <c r="M2" s="3"/>
      <c r="N2" s="3"/>
      <c r="O2" s="3"/>
      <c r="P2" s="3"/>
      <c r="Q2" s="3"/>
      <c r="R2" s="3"/>
      <c r="S2" s="3"/>
      <c r="T2" s="3"/>
      <c r="U2" s="3"/>
      <c r="V2" s="3"/>
      <c r="W2" s="3"/>
      <c r="X2" s="3"/>
      <c r="Y2" s="3"/>
      <c r="Z2" s="3"/>
    </row>
    <row r="3" ht="16.5" customHeight="1">
      <c r="A3" s="6" t="s">
        <v>2</v>
      </c>
      <c r="B3" s="6"/>
      <c r="C3" s="6"/>
      <c r="D3" s="6"/>
      <c r="E3" s="6"/>
      <c r="F3" s="6"/>
      <c r="G3" s="6"/>
      <c r="H3" s="3"/>
      <c r="I3" s="3"/>
      <c r="J3" s="3"/>
      <c r="K3" s="3"/>
      <c r="L3" s="3"/>
      <c r="M3" s="3"/>
      <c r="N3" s="3"/>
      <c r="O3" s="3"/>
      <c r="P3" s="3"/>
      <c r="Q3" s="3"/>
      <c r="R3" s="3"/>
      <c r="S3" s="3"/>
      <c r="T3" s="3"/>
      <c r="U3" s="3"/>
      <c r="V3" s="3"/>
      <c r="W3" s="3"/>
      <c r="X3" s="3"/>
      <c r="Y3" s="3"/>
      <c r="Z3" s="3"/>
    </row>
    <row r="4" ht="16.5" customHeight="1">
      <c r="A4" s="7"/>
      <c r="B4" s="8"/>
      <c r="C4" s="8"/>
      <c r="D4" s="8"/>
      <c r="E4" s="8"/>
      <c r="F4" s="8"/>
      <c r="G4" s="9"/>
      <c r="H4" s="3"/>
      <c r="I4" s="3"/>
      <c r="J4" s="3"/>
      <c r="K4" s="3"/>
      <c r="L4" s="3"/>
      <c r="M4" s="3"/>
      <c r="N4" s="3"/>
      <c r="O4" s="3"/>
      <c r="P4" s="3"/>
      <c r="Q4" s="3"/>
      <c r="R4" s="3"/>
      <c r="S4" s="3"/>
      <c r="T4" s="3"/>
      <c r="U4" s="3"/>
      <c r="V4" s="3"/>
      <c r="W4" s="3"/>
      <c r="X4" s="3"/>
      <c r="Y4" s="3"/>
      <c r="Z4" s="3"/>
    </row>
    <row r="5" ht="38.25" customHeight="1">
      <c r="A5" s="10"/>
      <c r="B5" s="11" t="s">
        <v>3</v>
      </c>
      <c r="C5" s="11" t="s">
        <v>4</v>
      </c>
      <c r="D5" s="11" t="s">
        <v>5</v>
      </c>
      <c r="E5" s="11" t="s">
        <v>6</v>
      </c>
      <c r="F5" s="11" t="s">
        <v>7</v>
      </c>
      <c r="G5" s="12" t="s">
        <v>8</v>
      </c>
      <c r="H5" s="3"/>
      <c r="I5" s="3"/>
      <c r="J5" s="3"/>
      <c r="K5" s="3"/>
      <c r="L5" s="3"/>
      <c r="M5" s="3"/>
      <c r="N5" s="3"/>
      <c r="O5" s="3"/>
      <c r="P5" s="3"/>
      <c r="Q5" s="3"/>
      <c r="R5" s="3"/>
      <c r="S5" s="3"/>
      <c r="T5" s="3"/>
      <c r="U5" s="3"/>
      <c r="V5" s="3"/>
      <c r="W5" s="3"/>
      <c r="X5" s="3"/>
      <c r="Y5" s="3"/>
      <c r="Z5" s="3"/>
    </row>
    <row r="6" ht="18.0" customHeight="1">
      <c r="A6" s="13" t="s">
        <v>9</v>
      </c>
      <c r="B6" s="14"/>
      <c r="C6" s="14"/>
      <c r="D6" s="14"/>
      <c r="E6" s="14"/>
      <c r="F6" s="14"/>
      <c r="G6" s="15"/>
      <c r="H6" s="3"/>
      <c r="I6" s="3"/>
      <c r="J6" s="3"/>
      <c r="K6" s="3"/>
      <c r="L6" s="3"/>
      <c r="M6" s="3"/>
      <c r="N6" s="3"/>
      <c r="O6" s="3"/>
      <c r="P6" s="3"/>
      <c r="Q6" s="3"/>
      <c r="R6" s="3"/>
      <c r="S6" s="3"/>
      <c r="T6" s="3"/>
      <c r="U6" s="3"/>
      <c r="V6" s="3"/>
      <c r="W6" s="3"/>
      <c r="X6" s="3"/>
      <c r="Y6" s="3"/>
      <c r="Z6" s="3"/>
    </row>
    <row r="7" ht="18.0" customHeight="1">
      <c r="A7" s="16" t="s">
        <v>10</v>
      </c>
      <c r="B7" s="17">
        <v>60.0</v>
      </c>
      <c r="C7" s="18">
        <v>74.0</v>
      </c>
      <c r="D7" s="18">
        <v>34.0</v>
      </c>
      <c r="E7" s="18">
        <v>51.0</v>
      </c>
      <c r="F7" s="19">
        <v>56.0</v>
      </c>
      <c r="G7" s="20">
        <f t="shared" ref="G7:G15" si="1">SUM(B7:F7)</f>
        <v>275</v>
      </c>
      <c r="H7" s="3"/>
      <c r="I7" s="3"/>
      <c r="J7" s="3"/>
      <c r="K7" s="3"/>
      <c r="L7" s="3"/>
      <c r="M7" s="3"/>
      <c r="N7" s="3"/>
      <c r="O7" s="3"/>
      <c r="P7" s="3"/>
      <c r="Q7" s="3"/>
      <c r="R7" s="3"/>
      <c r="S7" s="3"/>
      <c r="T7" s="3"/>
      <c r="U7" s="3"/>
      <c r="V7" s="3"/>
      <c r="W7" s="3"/>
      <c r="X7" s="3"/>
      <c r="Y7" s="3"/>
      <c r="Z7" s="3"/>
    </row>
    <row r="8" ht="18.0" customHeight="1">
      <c r="A8" s="21" t="s">
        <v>11</v>
      </c>
      <c r="B8" s="22">
        <v>54.0</v>
      </c>
      <c r="C8" s="23">
        <v>64.0</v>
      </c>
      <c r="D8" s="23">
        <v>31.0</v>
      </c>
      <c r="E8" s="23">
        <v>43.0</v>
      </c>
      <c r="F8" s="24">
        <v>47.0</v>
      </c>
      <c r="G8" s="25">
        <f t="shared" si="1"/>
        <v>239</v>
      </c>
      <c r="H8" s="3"/>
      <c r="I8" s="3"/>
      <c r="J8" s="3"/>
      <c r="K8" s="3"/>
      <c r="L8" s="3"/>
      <c r="M8" s="3"/>
      <c r="N8" s="3"/>
      <c r="O8" s="3"/>
      <c r="P8" s="3"/>
      <c r="Q8" s="3"/>
      <c r="R8" s="3"/>
      <c r="S8" s="3"/>
      <c r="T8" s="3"/>
      <c r="U8" s="3"/>
      <c r="V8" s="3"/>
      <c r="W8" s="3"/>
      <c r="X8" s="3"/>
      <c r="Y8" s="3"/>
      <c r="Z8" s="3"/>
    </row>
    <row r="9" ht="18.0" customHeight="1">
      <c r="A9" s="21" t="s">
        <v>12</v>
      </c>
      <c r="B9" s="22">
        <v>28.0</v>
      </c>
      <c r="C9" s="23">
        <v>47.0</v>
      </c>
      <c r="D9" s="23">
        <v>21.0</v>
      </c>
      <c r="E9" s="23">
        <v>28.0</v>
      </c>
      <c r="F9" s="24">
        <v>32.0</v>
      </c>
      <c r="G9" s="25">
        <f t="shared" si="1"/>
        <v>156</v>
      </c>
      <c r="H9" s="3"/>
      <c r="I9" s="3"/>
      <c r="J9" s="3"/>
      <c r="K9" s="3"/>
      <c r="L9" s="3"/>
      <c r="M9" s="3"/>
      <c r="N9" s="3"/>
      <c r="O9" s="3"/>
      <c r="P9" s="3"/>
      <c r="Q9" s="3"/>
      <c r="R9" s="3"/>
      <c r="S9" s="3"/>
      <c r="T9" s="3"/>
      <c r="U9" s="3"/>
      <c r="V9" s="3"/>
      <c r="W9" s="3"/>
      <c r="X9" s="3"/>
      <c r="Y9" s="3"/>
      <c r="Z9" s="3"/>
    </row>
    <row r="10" ht="18.0" customHeight="1">
      <c r="A10" s="21" t="s">
        <v>13</v>
      </c>
      <c r="B10" s="22">
        <v>23.0</v>
      </c>
      <c r="C10" s="23">
        <v>34.0</v>
      </c>
      <c r="D10" s="23">
        <v>14.0</v>
      </c>
      <c r="E10" s="23">
        <v>19.0</v>
      </c>
      <c r="F10" s="24">
        <v>28.0</v>
      </c>
      <c r="G10" s="25">
        <f t="shared" si="1"/>
        <v>118</v>
      </c>
      <c r="H10" s="3"/>
      <c r="I10" s="3"/>
      <c r="J10" s="3"/>
      <c r="K10" s="3"/>
      <c r="L10" s="3"/>
      <c r="M10" s="3"/>
      <c r="N10" s="3"/>
      <c r="O10" s="3"/>
      <c r="P10" s="3"/>
      <c r="Q10" s="3"/>
      <c r="R10" s="3"/>
      <c r="S10" s="3"/>
      <c r="T10" s="3"/>
      <c r="U10" s="3"/>
      <c r="V10" s="3"/>
      <c r="W10" s="3"/>
      <c r="X10" s="3"/>
      <c r="Y10" s="3"/>
      <c r="Z10" s="3"/>
    </row>
    <row r="11" ht="18.0" customHeight="1">
      <c r="A11" s="21" t="s">
        <v>14</v>
      </c>
      <c r="B11" s="22">
        <v>0.0</v>
      </c>
      <c r="C11" s="23">
        <v>0.0</v>
      </c>
      <c r="D11" s="23">
        <v>0.0</v>
      </c>
      <c r="E11" s="23">
        <v>0.0</v>
      </c>
      <c r="F11" s="24">
        <v>0.0</v>
      </c>
      <c r="G11" s="25">
        <f t="shared" si="1"/>
        <v>0</v>
      </c>
      <c r="H11" s="3"/>
      <c r="I11" s="3"/>
      <c r="J11" s="3"/>
      <c r="K11" s="3"/>
      <c r="L11" s="3"/>
      <c r="M11" s="3"/>
      <c r="N11" s="3"/>
      <c r="O11" s="3"/>
      <c r="P11" s="3"/>
      <c r="Q11" s="3"/>
      <c r="R11" s="3"/>
      <c r="S11" s="3"/>
      <c r="T11" s="3"/>
      <c r="U11" s="3"/>
      <c r="V11" s="3"/>
      <c r="W11" s="3"/>
      <c r="X11" s="3"/>
      <c r="Y11" s="3"/>
      <c r="Z11" s="3"/>
    </row>
    <row r="12" ht="18.0" customHeight="1">
      <c r="A12" s="21" t="s">
        <v>15</v>
      </c>
      <c r="B12" s="22">
        <v>0.0</v>
      </c>
      <c r="C12" s="23">
        <v>0.0</v>
      </c>
      <c r="D12" s="23">
        <v>0.0</v>
      </c>
      <c r="E12" s="23">
        <v>0.0</v>
      </c>
      <c r="F12" s="24">
        <v>0.0</v>
      </c>
      <c r="G12" s="25">
        <f t="shared" si="1"/>
        <v>0</v>
      </c>
      <c r="H12" s="3"/>
      <c r="I12" s="3"/>
      <c r="J12" s="3"/>
      <c r="K12" s="3"/>
      <c r="L12" s="3"/>
      <c r="M12" s="3"/>
      <c r="N12" s="3"/>
      <c r="O12" s="3"/>
      <c r="P12" s="3"/>
      <c r="Q12" s="3"/>
      <c r="R12" s="3"/>
      <c r="S12" s="3"/>
      <c r="T12" s="3"/>
      <c r="U12" s="3"/>
      <c r="V12" s="3"/>
      <c r="W12" s="3"/>
      <c r="X12" s="3"/>
      <c r="Y12" s="3"/>
      <c r="Z12" s="3"/>
    </row>
    <row r="13" ht="18.0" customHeight="1">
      <c r="A13" s="21" t="s">
        <v>16</v>
      </c>
      <c r="B13" s="22">
        <v>0.0</v>
      </c>
      <c r="C13" s="23">
        <v>0.0</v>
      </c>
      <c r="D13" s="23">
        <v>0.0</v>
      </c>
      <c r="E13" s="23">
        <v>0.0</v>
      </c>
      <c r="F13" s="24">
        <v>0.0</v>
      </c>
      <c r="G13" s="25">
        <f t="shared" si="1"/>
        <v>0</v>
      </c>
      <c r="H13" s="3"/>
      <c r="I13" s="3"/>
      <c r="J13" s="3"/>
      <c r="K13" s="3"/>
      <c r="L13" s="3"/>
      <c r="M13" s="3"/>
      <c r="N13" s="3"/>
      <c r="O13" s="3"/>
      <c r="P13" s="3"/>
      <c r="Q13" s="3"/>
      <c r="R13" s="3"/>
      <c r="S13" s="3"/>
      <c r="T13" s="3"/>
      <c r="U13" s="3"/>
      <c r="V13" s="3"/>
      <c r="W13" s="3"/>
      <c r="X13" s="3"/>
      <c r="Y13" s="3"/>
      <c r="Z13" s="3"/>
    </row>
    <row r="14" ht="18.0" customHeight="1">
      <c r="A14" s="21" t="s">
        <v>17</v>
      </c>
      <c r="B14" s="22">
        <v>13.0</v>
      </c>
      <c r="C14" s="23">
        <v>20.0</v>
      </c>
      <c r="D14" s="23">
        <v>11.0</v>
      </c>
      <c r="E14" s="23">
        <v>15.0</v>
      </c>
      <c r="F14" s="24">
        <v>15.0</v>
      </c>
      <c r="G14" s="25">
        <f t="shared" si="1"/>
        <v>74</v>
      </c>
      <c r="H14" s="3"/>
      <c r="I14" s="3"/>
      <c r="J14" s="3"/>
      <c r="K14" s="3"/>
      <c r="L14" s="3"/>
      <c r="M14" s="3"/>
      <c r="N14" s="3"/>
      <c r="O14" s="3"/>
      <c r="P14" s="3"/>
      <c r="Q14" s="3"/>
      <c r="R14" s="3"/>
      <c r="S14" s="3"/>
      <c r="T14" s="3"/>
      <c r="U14" s="3"/>
      <c r="V14" s="3"/>
      <c r="W14" s="3"/>
      <c r="X14" s="3"/>
      <c r="Y14" s="3"/>
      <c r="Z14" s="3"/>
    </row>
    <row r="15" ht="18.0" customHeight="1">
      <c r="A15" s="21" t="s">
        <v>18</v>
      </c>
      <c r="B15" s="22">
        <v>22.0</v>
      </c>
      <c r="C15" s="23">
        <v>30.0</v>
      </c>
      <c r="D15" s="23">
        <v>15.0</v>
      </c>
      <c r="E15" s="23">
        <v>15.0</v>
      </c>
      <c r="F15" s="24">
        <v>19.0</v>
      </c>
      <c r="G15" s="25">
        <f t="shared" si="1"/>
        <v>101</v>
      </c>
      <c r="H15" s="3"/>
      <c r="I15" s="3"/>
      <c r="J15" s="3"/>
      <c r="K15" s="3"/>
      <c r="L15" s="3"/>
      <c r="M15" s="3"/>
      <c r="N15" s="3"/>
      <c r="O15" s="3"/>
      <c r="P15" s="3"/>
      <c r="Q15" s="3"/>
      <c r="R15" s="3"/>
      <c r="S15" s="3"/>
      <c r="T15" s="3"/>
      <c r="U15" s="3"/>
      <c r="V15" s="3"/>
      <c r="W15" s="3"/>
      <c r="X15" s="3"/>
      <c r="Y15" s="3"/>
      <c r="Z15" s="3"/>
    </row>
    <row r="16" ht="18.0" customHeight="1">
      <c r="A16" s="26" t="s">
        <v>19</v>
      </c>
      <c r="B16" s="15"/>
      <c r="C16" s="15"/>
      <c r="D16" s="15"/>
      <c r="E16" s="15"/>
      <c r="F16" s="15"/>
      <c r="G16" s="15"/>
      <c r="H16" s="3"/>
      <c r="I16" s="3"/>
      <c r="J16" s="3"/>
      <c r="K16" s="3"/>
      <c r="L16" s="3"/>
      <c r="M16" s="3"/>
      <c r="N16" s="3"/>
      <c r="O16" s="3"/>
      <c r="P16" s="3"/>
      <c r="Q16" s="3"/>
      <c r="R16" s="3"/>
      <c r="S16" s="3"/>
      <c r="T16" s="3"/>
      <c r="U16" s="3"/>
      <c r="V16" s="3"/>
      <c r="W16" s="3"/>
      <c r="X16" s="3"/>
      <c r="Y16" s="3"/>
      <c r="Z16" s="3"/>
    </row>
    <row r="17" ht="18.0" customHeight="1">
      <c r="A17" s="27" t="str">
        <f t="shared" ref="A17:A24" si="3">A8</f>
        <v>Whatsits</v>
      </c>
      <c r="B17" s="28">
        <f t="shared" ref="B17:G17" si="2">IF(B7,B8/B7,0)</f>
        <v>0.9</v>
      </c>
      <c r="C17" s="29">
        <f t="shared" si="2"/>
        <v>0.8648648649</v>
      </c>
      <c r="D17" s="29">
        <f t="shared" si="2"/>
        <v>0.9117647059</v>
      </c>
      <c r="E17" s="29">
        <f t="shared" si="2"/>
        <v>0.8431372549</v>
      </c>
      <c r="F17" s="30">
        <f t="shared" si="2"/>
        <v>0.8392857143</v>
      </c>
      <c r="G17" s="31">
        <f t="shared" si="2"/>
        <v>0.8690909091</v>
      </c>
      <c r="H17" s="3"/>
      <c r="I17" s="3"/>
      <c r="J17" s="3"/>
      <c r="K17" s="3"/>
      <c r="L17" s="3"/>
      <c r="M17" s="3"/>
      <c r="N17" s="3"/>
      <c r="O17" s="3"/>
      <c r="P17" s="3"/>
      <c r="Q17" s="3"/>
      <c r="R17" s="3"/>
      <c r="S17" s="3"/>
      <c r="T17" s="3"/>
      <c r="U17" s="3"/>
      <c r="V17" s="3"/>
      <c r="W17" s="3"/>
      <c r="X17" s="3"/>
      <c r="Y17" s="3"/>
      <c r="Z17" s="3"/>
    </row>
    <row r="18" ht="18.0" customHeight="1">
      <c r="A18" s="21" t="str">
        <f t="shared" si="3"/>
        <v>Doohickeys</v>
      </c>
      <c r="B18" s="32">
        <f t="shared" ref="B18:G18" si="4">IF(B9,B9/B7,0)</f>
        <v>0.4666666667</v>
      </c>
      <c r="C18" s="33">
        <f t="shared" si="4"/>
        <v>0.6351351351</v>
      </c>
      <c r="D18" s="33">
        <f t="shared" si="4"/>
        <v>0.6176470588</v>
      </c>
      <c r="E18" s="33">
        <f t="shared" si="4"/>
        <v>0.5490196078</v>
      </c>
      <c r="F18" s="34">
        <f t="shared" si="4"/>
        <v>0.5714285714</v>
      </c>
      <c r="G18" s="35">
        <f t="shared" si="4"/>
        <v>0.5672727273</v>
      </c>
      <c r="H18" s="3"/>
      <c r="I18" s="3"/>
      <c r="J18" s="3"/>
      <c r="K18" s="3"/>
      <c r="L18" s="3"/>
      <c r="M18" s="3"/>
      <c r="N18" s="3"/>
      <c r="O18" s="3"/>
      <c r="P18" s="3"/>
      <c r="Q18" s="3"/>
      <c r="R18" s="3"/>
      <c r="S18" s="3"/>
      <c r="T18" s="3"/>
      <c r="U18" s="3"/>
      <c r="V18" s="3"/>
      <c r="W18" s="3"/>
      <c r="X18" s="3"/>
      <c r="Y18" s="3"/>
      <c r="Z18" s="3"/>
    </row>
    <row r="19" ht="18.0" customHeight="1">
      <c r="A19" s="21" t="str">
        <f t="shared" si="3"/>
        <v>Gadgets</v>
      </c>
      <c r="B19" s="32">
        <f t="shared" ref="B19:G19" si="5">IF(B10,B10/B7,0)</f>
        <v>0.3833333333</v>
      </c>
      <c r="C19" s="33">
        <f t="shared" si="5"/>
        <v>0.4594594595</v>
      </c>
      <c r="D19" s="33">
        <f t="shared" si="5"/>
        <v>0.4117647059</v>
      </c>
      <c r="E19" s="33">
        <f t="shared" si="5"/>
        <v>0.3725490196</v>
      </c>
      <c r="F19" s="34">
        <f t="shared" si="5"/>
        <v>0.5</v>
      </c>
      <c r="G19" s="35">
        <f t="shared" si="5"/>
        <v>0.4290909091</v>
      </c>
      <c r="H19" s="3"/>
      <c r="I19" s="3"/>
      <c r="J19" s="3"/>
      <c r="K19" s="3"/>
      <c r="L19" s="3"/>
      <c r="M19" s="3"/>
      <c r="N19" s="3"/>
      <c r="O19" s="3"/>
      <c r="P19" s="3"/>
      <c r="Q19" s="3"/>
      <c r="R19" s="3"/>
      <c r="S19" s="3"/>
      <c r="T19" s="3"/>
      <c r="U19" s="3"/>
      <c r="V19" s="3"/>
      <c r="W19" s="3"/>
      <c r="X19" s="3"/>
      <c r="Y19" s="3"/>
      <c r="Z19" s="3"/>
    </row>
    <row r="20" ht="18.0" customHeight="1">
      <c r="A20" s="21" t="str">
        <f t="shared" si="3"/>
        <v>Bahbooms</v>
      </c>
      <c r="B20" s="32">
        <f t="shared" ref="B20:G20" si="6">IF(B11,B11/B8,0)</f>
        <v>0</v>
      </c>
      <c r="C20" s="33">
        <f t="shared" si="6"/>
        <v>0</v>
      </c>
      <c r="D20" s="33">
        <f t="shared" si="6"/>
        <v>0</v>
      </c>
      <c r="E20" s="33">
        <f t="shared" si="6"/>
        <v>0</v>
      </c>
      <c r="F20" s="34">
        <f t="shared" si="6"/>
        <v>0</v>
      </c>
      <c r="G20" s="35">
        <f t="shared" si="6"/>
        <v>0</v>
      </c>
      <c r="H20" s="3"/>
      <c r="I20" s="3"/>
      <c r="J20" s="3"/>
      <c r="K20" s="3"/>
      <c r="L20" s="3"/>
      <c r="M20" s="3"/>
      <c r="N20" s="3"/>
      <c r="O20" s="3"/>
      <c r="P20" s="3"/>
      <c r="Q20" s="3"/>
      <c r="R20" s="3"/>
      <c r="S20" s="3"/>
      <c r="T20" s="3"/>
      <c r="U20" s="3"/>
      <c r="V20" s="3"/>
      <c r="W20" s="3"/>
      <c r="X20" s="3"/>
      <c r="Y20" s="3"/>
      <c r="Z20" s="3"/>
    </row>
    <row r="21" ht="18.0" customHeight="1">
      <c r="A21" s="21" t="str">
        <f t="shared" si="3"/>
        <v>Heehaws</v>
      </c>
      <c r="B21" s="32">
        <f t="shared" ref="B21:G21" si="7">IF(B12,B12/B8,0)</f>
        <v>0</v>
      </c>
      <c r="C21" s="33">
        <f t="shared" si="7"/>
        <v>0</v>
      </c>
      <c r="D21" s="33">
        <f t="shared" si="7"/>
        <v>0</v>
      </c>
      <c r="E21" s="33">
        <f t="shared" si="7"/>
        <v>0</v>
      </c>
      <c r="F21" s="34">
        <f t="shared" si="7"/>
        <v>0</v>
      </c>
      <c r="G21" s="35">
        <f t="shared" si="7"/>
        <v>0</v>
      </c>
      <c r="H21" s="3"/>
      <c r="I21" s="3"/>
      <c r="J21" s="3"/>
      <c r="K21" s="3"/>
      <c r="L21" s="3"/>
      <c r="M21" s="3"/>
      <c r="N21" s="3"/>
      <c r="O21" s="3"/>
      <c r="P21" s="3"/>
      <c r="Q21" s="3"/>
      <c r="R21" s="3"/>
      <c r="S21" s="3"/>
      <c r="T21" s="3"/>
      <c r="U21" s="3"/>
      <c r="V21" s="3"/>
      <c r="W21" s="3"/>
      <c r="X21" s="3"/>
      <c r="Y21" s="3"/>
      <c r="Z21" s="3"/>
    </row>
    <row r="22" ht="18.0" customHeight="1">
      <c r="A22" s="21" t="str">
        <f t="shared" si="3"/>
        <v>Doodads</v>
      </c>
      <c r="B22" s="32">
        <f t="shared" ref="B22:G22" si="8">IF(B13,B13/B7,0)</f>
        <v>0</v>
      </c>
      <c r="C22" s="33">
        <f t="shared" si="8"/>
        <v>0</v>
      </c>
      <c r="D22" s="33">
        <f t="shared" si="8"/>
        <v>0</v>
      </c>
      <c r="E22" s="33">
        <f t="shared" si="8"/>
        <v>0</v>
      </c>
      <c r="F22" s="34">
        <f t="shared" si="8"/>
        <v>0</v>
      </c>
      <c r="G22" s="35">
        <f t="shared" si="8"/>
        <v>0</v>
      </c>
      <c r="H22" s="3"/>
      <c r="I22" s="3"/>
      <c r="J22" s="3"/>
      <c r="K22" s="3"/>
      <c r="L22" s="3"/>
      <c r="M22" s="3"/>
      <c r="N22" s="3"/>
      <c r="O22" s="3"/>
      <c r="P22" s="3"/>
      <c r="Q22" s="3"/>
      <c r="R22" s="3"/>
      <c r="S22" s="3"/>
      <c r="T22" s="3"/>
      <c r="U22" s="3"/>
      <c r="V22" s="3"/>
      <c r="W22" s="3"/>
      <c r="X22" s="3"/>
      <c r="Y22" s="3"/>
      <c r="Z22" s="3"/>
    </row>
    <row r="23" ht="18.0" customHeight="1">
      <c r="A23" s="21" t="str">
        <f t="shared" si="3"/>
        <v>Meemaws</v>
      </c>
      <c r="B23" s="32">
        <f t="shared" ref="B23:G23" si="9">IF(B14,B14/B7,0)</f>
        <v>0.2166666667</v>
      </c>
      <c r="C23" s="33">
        <f t="shared" si="9"/>
        <v>0.2702702703</v>
      </c>
      <c r="D23" s="33">
        <f t="shared" si="9"/>
        <v>0.3235294118</v>
      </c>
      <c r="E23" s="33">
        <f t="shared" si="9"/>
        <v>0.2941176471</v>
      </c>
      <c r="F23" s="34">
        <f t="shared" si="9"/>
        <v>0.2678571429</v>
      </c>
      <c r="G23" s="35">
        <f t="shared" si="9"/>
        <v>0.2690909091</v>
      </c>
      <c r="H23" s="3"/>
      <c r="I23" s="3"/>
      <c r="J23" s="3"/>
      <c r="K23" s="3"/>
      <c r="L23" s="3"/>
      <c r="M23" s="3"/>
      <c r="N23" s="3"/>
      <c r="O23" s="3"/>
      <c r="P23" s="3"/>
      <c r="Q23" s="3"/>
      <c r="R23" s="3"/>
      <c r="S23" s="3"/>
      <c r="T23" s="3"/>
      <c r="U23" s="3"/>
      <c r="V23" s="3"/>
      <c r="W23" s="3"/>
      <c r="X23" s="3"/>
      <c r="Y23" s="3"/>
      <c r="Z23" s="3"/>
    </row>
    <row r="24" ht="18.0" customHeight="1">
      <c r="A24" s="21" t="str">
        <f t="shared" si="3"/>
        <v>Whatchamacallits</v>
      </c>
      <c r="B24" s="32">
        <f t="shared" ref="B24:G24" si="10">IF(B15,B15/B8,0)</f>
        <v>0.4074074074</v>
      </c>
      <c r="C24" s="33">
        <f t="shared" si="10"/>
        <v>0.46875</v>
      </c>
      <c r="D24" s="33">
        <f t="shared" si="10"/>
        <v>0.4838709677</v>
      </c>
      <c r="E24" s="33">
        <f t="shared" si="10"/>
        <v>0.3488372093</v>
      </c>
      <c r="F24" s="34">
        <f t="shared" si="10"/>
        <v>0.4042553191</v>
      </c>
      <c r="G24" s="35">
        <f t="shared" si="10"/>
        <v>0.4225941423</v>
      </c>
      <c r="H24" s="3"/>
      <c r="I24" s="3"/>
      <c r="J24" s="3"/>
      <c r="K24" s="3"/>
      <c r="L24" s="3"/>
      <c r="M24" s="3"/>
      <c r="N24" s="3"/>
      <c r="O24" s="3"/>
      <c r="P24" s="3"/>
      <c r="Q24" s="3"/>
      <c r="R24" s="3"/>
      <c r="S24" s="3"/>
      <c r="T24" s="3"/>
      <c r="U24" s="3"/>
      <c r="V24" s="3"/>
      <c r="W24" s="3"/>
      <c r="X24" s="3"/>
      <c r="Y24" s="3"/>
      <c r="Z24" s="3"/>
    </row>
    <row r="25" ht="18.0" customHeight="1">
      <c r="A25" s="21" t="s">
        <v>20</v>
      </c>
      <c r="B25" s="36">
        <f t="shared" ref="B25:G25" si="11">(B9+B10+B11+B12+B13+B14+B15)/B7</f>
        <v>1.433333333</v>
      </c>
      <c r="C25" s="36">
        <f t="shared" si="11"/>
        <v>1.77027027</v>
      </c>
      <c r="D25" s="36">
        <f t="shared" si="11"/>
        <v>1.794117647</v>
      </c>
      <c r="E25" s="36">
        <f t="shared" si="11"/>
        <v>1.509803922</v>
      </c>
      <c r="F25" s="36">
        <f t="shared" si="11"/>
        <v>1.678571429</v>
      </c>
      <c r="G25" s="36">
        <f t="shared" si="11"/>
        <v>1.632727273</v>
      </c>
      <c r="H25" s="3"/>
      <c r="I25" s="3"/>
      <c r="J25" s="3"/>
      <c r="K25" s="3"/>
      <c r="L25" s="3"/>
      <c r="M25" s="3"/>
      <c r="N25" s="3"/>
      <c r="O25" s="3"/>
      <c r="P25" s="3"/>
      <c r="Q25" s="3"/>
      <c r="R25" s="3"/>
      <c r="S25" s="3"/>
      <c r="T25" s="3"/>
      <c r="U25" s="3"/>
      <c r="V25" s="3"/>
      <c r="W25" s="3"/>
      <c r="X25" s="3"/>
      <c r="Y25" s="3"/>
      <c r="Z25" s="3"/>
    </row>
    <row r="26" ht="18.0" customHeight="1">
      <c r="A26" s="37" t="s">
        <v>21</v>
      </c>
      <c r="B26" s="36">
        <f t="shared" ref="B26:G26" si="12">(B8+B9+B10+B11+B12+B13+B14+B15)/B7</f>
        <v>2.333333333</v>
      </c>
      <c r="C26" s="36">
        <f t="shared" si="12"/>
        <v>2.635135135</v>
      </c>
      <c r="D26" s="36">
        <f t="shared" si="12"/>
        <v>2.705882353</v>
      </c>
      <c r="E26" s="36">
        <f t="shared" si="12"/>
        <v>2.352941176</v>
      </c>
      <c r="F26" s="36">
        <f t="shared" si="12"/>
        <v>2.517857143</v>
      </c>
      <c r="G26" s="36">
        <f t="shared" si="12"/>
        <v>2.501818182</v>
      </c>
      <c r="H26" s="3"/>
      <c r="I26" s="3"/>
      <c r="J26" s="3"/>
      <c r="K26" s="3"/>
      <c r="L26" s="3"/>
      <c r="M26" s="3"/>
      <c r="N26" s="3"/>
      <c r="O26" s="3"/>
      <c r="P26" s="3"/>
      <c r="Q26" s="3"/>
      <c r="R26" s="3"/>
      <c r="S26" s="3"/>
      <c r="T26" s="3"/>
      <c r="U26" s="3"/>
      <c r="V26" s="3"/>
      <c r="W26" s="3"/>
      <c r="X26" s="3"/>
      <c r="Y26" s="3"/>
      <c r="Z26" s="3"/>
    </row>
    <row r="27" ht="18.0" customHeight="1">
      <c r="A27" s="26" t="s">
        <v>22</v>
      </c>
      <c r="B27" s="15"/>
      <c r="C27" s="15"/>
      <c r="D27" s="15"/>
      <c r="E27" s="15"/>
      <c r="F27" s="15"/>
      <c r="G27" s="15"/>
      <c r="H27" s="3"/>
      <c r="I27" s="3"/>
      <c r="J27" s="3"/>
      <c r="K27" s="3"/>
      <c r="L27" s="3"/>
      <c r="M27" s="3"/>
      <c r="N27" s="3"/>
      <c r="O27" s="3"/>
      <c r="P27" s="3"/>
      <c r="Q27" s="3"/>
      <c r="R27" s="3"/>
      <c r="S27" s="3"/>
      <c r="T27" s="3"/>
      <c r="U27" s="3"/>
      <c r="V27" s="3"/>
      <c r="W27" s="3"/>
      <c r="X27" s="3"/>
      <c r="Y27" s="3"/>
      <c r="Z27" s="3"/>
    </row>
    <row r="28" ht="18.0" customHeight="1">
      <c r="A28" s="27" t="str">
        <f t="shared" ref="A28:A35" si="13">A8</f>
        <v>Whatsits</v>
      </c>
      <c r="B28" s="38">
        <v>23030.0</v>
      </c>
      <c r="C28" s="39">
        <v>30027.0</v>
      </c>
      <c r="D28" s="39">
        <v>20351.0</v>
      </c>
      <c r="E28" s="39">
        <v>30302.0</v>
      </c>
      <c r="F28" s="40">
        <v>18113.0</v>
      </c>
      <c r="G28" s="41">
        <f t="shared" ref="G28:G35" si="14">SUM(B28:F28)</f>
        <v>121823</v>
      </c>
      <c r="H28" s="3"/>
      <c r="I28" s="3"/>
      <c r="J28" s="3"/>
      <c r="K28" s="3"/>
      <c r="L28" s="3"/>
      <c r="M28" s="3"/>
      <c r="N28" s="3"/>
      <c r="O28" s="3"/>
      <c r="P28" s="3"/>
      <c r="Q28" s="3"/>
      <c r="R28" s="3"/>
      <c r="S28" s="3"/>
      <c r="T28" s="3"/>
      <c r="U28" s="3"/>
      <c r="V28" s="3"/>
      <c r="W28" s="3"/>
      <c r="X28" s="3"/>
      <c r="Y28" s="3"/>
      <c r="Z28" s="3"/>
    </row>
    <row r="29" ht="18.0" customHeight="1">
      <c r="A29" s="21" t="str">
        <f t="shared" si="13"/>
        <v>Doohickeys</v>
      </c>
      <c r="B29" s="42">
        <v>26142.0</v>
      </c>
      <c r="C29" s="43">
        <v>50283.0</v>
      </c>
      <c r="D29" s="43">
        <v>21516.0</v>
      </c>
      <c r="E29" s="43">
        <v>22358.0</v>
      </c>
      <c r="F29" s="44">
        <v>28779.0</v>
      </c>
      <c r="G29" s="45">
        <f t="shared" si="14"/>
        <v>149078</v>
      </c>
      <c r="H29" s="3"/>
      <c r="I29" s="3"/>
      <c r="J29" s="3"/>
      <c r="K29" s="3"/>
      <c r="L29" s="3"/>
      <c r="M29" s="3"/>
      <c r="N29" s="3"/>
      <c r="O29" s="3"/>
      <c r="P29" s="3"/>
      <c r="Q29" s="3"/>
      <c r="R29" s="3"/>
      <c r="S29" s="3"/>
      <c r="T29" s="3"/>
      <c r="U29" s="3"/>
      <c r="V29" s="3"/>
      <c r="W29" s="3"/>
      <c r="X29" s="3"/>
      <c r="Y29" s="3"/>
      <c r="Z29" s="3"/>
    </row>
    <row r="30" ht="18.0" customHeight="1">
      <c r="A30" s="21" t="str">
        <f t="shared" si="13"/>
        <v>Gadgets</v>
      </c>
      <c r="B30" s="42">
        <v>3300.0</v>
      </c>
      <c r="C30" s="43">
        <v>12317.0</v>
      </c>
      <c r="D30" s="43">
        <v>3022.0</v>
      </c>
      <c r="E30" s="43">
        <v>2056.0</v>
      </c>
      <c r="F30" s="44">
        <v>6498.0</v>
      </c>
      <c r="G30" s="45">
        <f t="shared" si="14"/>
        <v>27193</v>
      </c>
      <c r="H30" s="3"/>
      <c r="I30" s="3"/>
      <c r="J30" s="3"/>
      <c r="K30" s="3"/>
      <c r="L30" s="3"/>
      <c r="M30" s="3"/>
      <c r="N30" s="3"/>
      <c r="O30" s="3"/>
      <c r="P30" s="3"/>
      <c r="Q30" s="3"/>
      <c r="R30" s="3"/>
      <c r="S30" s="3"/>
      <c r="T30" s="3"/>
      <c r="U30" s="3"/>
      <c r="V30" s="3"/>
      <c r="W30" s="3"/>
      <c r="X30" s="3"/>
      <c r="Y30" s="3"/>
      <c r="Z30" s="3"/>
    </row>
    <row r="31" ht="18.0" customHeight="1">
      <c r="A31" s="21" t="str">
        <f t="shared" si="13"/>
        <v>Bahbooms</v>
      </c>
      <c r="B31" s="42">
        <v>0.0</v>
      </c>
      <c r="C31" s="43">
        <v>0.0</v>
      </c>
      <c r="D31" s="43">
        <v>0.0</v>
      </c>
      <c r="E31" s="43">
        <v>0.0</v>
      </c>
      <c r="F31" s="44">
        <v>0.0</v>
      </c>
      <c r="G31" s="45">
        <f t="shared" si="14"/>
        <v>0</v>
      </c>
      <c r="H31" s="3"/>
      <c r="I31" s="3"/>
      <c r="J31" s="3"/>
      <c r="K31" s="3"/>
      <c r="L31" s="3"/>
      <c r="M31" s="3"/>
      <c r="N31" s="3"/>
      <c r="O31" s="3"/>
      <c r="P31" s="3"/>
      <c r="Q31" s="3"/>
      <c r="R31" s="3"/>
      <c r="S31" s="3"/>
      <c r="T31" s="3"/>
      <c r="U31" s="3"/>
      <c r="V31" s="3"/>
      <c r="W31" s="3"/>
      <c r="X31" s="3"/>
      <c r="Y31" s="3"/>
      <c r="Z31" s="3"/>
    </row>
    <row r="32" ht="18.0" customHeight="1">
      <c r="A32" s="21" t="str">
        <f t="shared" si="13"/>
        <v>Heehaws</v>
      </c>
      <c r="B32" s="42">
        <v>0.0</v>
      </c>
      <c r="C32" s="43">
        <v>0.0</v>
      </c>
      <c r="D32" s="43">
        <v>0.0</v>
      </c>
      <c r="E32" s="43">
        <v>0.0</v>
      </c>
      <c r="F32" s="44">
        <v>0.0</v>
      </c>
      <c r="G32" s="45">
        <f t="shared" si="14"/>
        <v>0</v>
      </c>
      <c r="H32" s="3"/>
      <c r="I32" s="3"/>
      <c r="J32" s="3"/>
      <c r="K32" s="3"/>
      <c r="L32" s="3"/>
      <c r="M32" s="3"/>
      <c r="N32" s="3"/>
      <c r="O32" s="3"/>
      <c r="P32" s="3"/>
      <c r="Q32" s="3"/>
      <c r="R32" s="3"/>
      <c r="S32" s="3"/>
      <c r="T32" s="3"/>
      <c r="U32" s="3"/>
      <c r="V32" s="3"/>
      <c r="W32" s="3"/>
      <c r="X32" s="3"/>
      <c r="Y32" s="3"/>
      <c r="Z32" s="3"/>
    </row>
    <row r="33" ht="18.0" customHeight="1">
      <c r="A33" s="21" t="str">
        <f t="shared" si="13"/>
        <v>Doodads</v>
      </c>
      <c r="B33" s="42">
        <v>0.0</v>
      </c>
      <c r="C33" s="43">
        <v>0.0</v>
      </c>
      <c r="D33" s="43">
        <v>0.0</v>
      </c>
      <c r="E33" s="43">
        <v>0.0</v>
      </c>
      <c r="F33" s="44">
        <v>0.0</v>
      </c>
      <c r="G33" s="45">
        <f t="shared" si="14"/>
        <v>0</v>
      </c>
      <c r="H33" s="3"/>
      <c r="I33" s="3"/>
      <c r="J33" s="3"/>
      <c r="K33" s="3"/>
      <c r="L33" s="3"/>
      <c r="M33" s="3"/>
      <c r="N33" s="3"/>
      <c r="O33" s="3"/>
      <c r="P33" s="3"/>
      <c r="Q33" s="3"/>
      <c r="R33" s="3"/>
      <c r="S33" s="3"/>
      <c r="T33" s="3"/>
      <c r="U33" s="3"/>
      <c r="V33" s="3"/>
      <c r="W33" s="3"/>
      <c r="X33" s="3"/>
      <c r="Y33" s="3"/>
      <c r="Z33" s="3"/>
    </row>
    <row r="34" ht="18.0" customHeight="1">
      <c r="A34" s="21" t="str">
        <f t="shared" si="13"/>
        <v>Meemaws</v>
      </c>
      <c r="B34" s="42">
        <v>3325.0</v>
      </c>
      <c r="C34" s="43">
        <v>5009.0</v>
      </c>
      <c r="D34" s="43">
        <v>3849.0</v>
      </c>
      <c r="E34" s="43">
        <v>2876.0</v>
      </c>
      <c r="F34" s="44">
        <v>1849.0</v>
      </c>
      <c r="G34" s="45">
        <f t="shared" si="14"/>
        <v>16908</v>
      </c>
      <c r="H34" s="3"/>
      <c r="I34" s="3"/>
      <c r="J34" s="3"/>
      <c r="K34" s="3"/>
      <c r="L34" s="3"/>
      <c r="M34" s="3"/>
      <c r="N34" s="3"/>
      <c r="O34" s="3"/>
      <c r="P34" s="3"/>
      <c r="Q34" s="3"/>
      <c r="R34" s="3"/>
      <c r="S34" s="3"/>
      <c r="T34" s="3"/>
      <c r="U34" s="3"/>
      <c r="V34" s="3"/>
      <c r="W34" s="3"/>
      <c r="X34" s="3"/>
      <c r="Y34" s="3"/>
      <c r="Z34" s="3"/>
    </row>
    <row r="35" ht="18.0" customHeight="1">
      <c r="A35" s="21" t="str">
        <f t="shared" si="13"/>
        <v>Whatchamacallits</v>
      </c>
      <c r="B35" s="42">
        <v>7210.0</v>
      </c>
      <c r="C35" s="43">
        <v>7006.0</v>
      </c>
      <c r="D35" s="43">
        <v>5475.0</v>
      </c>
      <c r="E35" s="43">
        <v>4498.0</v>
      </c>
      <c r="F35" s="44">
        <v>6225.0</v>
      </c>
      <c r="G35" s="45">
        <f t="shared" si="14"/>
        <v>30414</v>
      </c>
      <c r="H35" s="3"/>
      <c r="I35" s="3"/>
      <c r="J35" s="3"/>
      <c r="K35" s="3"/>
      <c r="L35" s="3"/>
      <c r="M35" s="3"/>
      <c r="N35" s="3"/>
      <c r="O35" s="3"/>
      <c r="P35" s="3"/>
      <c r="Q35" s="3"/>
      <c r="R35" s="3"/>
      <c r="S35" s="3"/>
      <c r="T35" s="3"/>
      <c r="U35" s="3"/>
      <c r="V35" s="3"/>
      <c r="W35" s="3"/>
      <c r="X35" s="3"/>
      <c r="Y35" s="3"/>
      <c r="Z35" s="3"/>
    </row>
    <row r="36" ht="18.0" customHeight="1">
      <c r="A36" s="46" t="s">
        <v>23</v>
      </c>
      <c r="B36" s="42">
        <f t="shared" ref="B36:G36" si="15">SUM(B28:B35)</f>
        <v>63007</v>
      </c>
      <c r="C36" s="43">
        <f t="shared" si="15"/>
        <v>104642</v>
      </c>
      <c r="D36" s="43">
        <f t="shared" si="15"/>
        <v>54213</v>
      </c>
      <c r="E36" s="43">
        <f t="shared" si="15"/>
        <v>62090</v>
      </c>
      <c r="F36" s="44">
        <f t="shared" si="15"/>
        <v>61464</v>
      </c>
      <c r="G36" s="45">
        <f t="shared" si="15"/>
        <v>345416</v>
      </c>
      <c r="H36" s="3"/>
      <c r="I36" s="3"/>
      <c r="J36" s="3"/>
      <c r="K36" s="3"/>
      <c r="L36" s="3"/>
      <c r="M36" s="3"/>
      <c r="N36" s="3"/>
      <c r="O36" s="3"/>
      <c r="P36" s="3"/>
      <c r="Q36" s="3"/>
      <c r="R36" s="3"/>
      <c r="S36" s="3"/>
      <c r="T36" s="3"/>
      <c r="U36" s="3"/>
      <c r="V36" s="3"/>
      <c r="W36" s="3"/>
      <c r="X36" s="3"/>
      <c r="Y36" s="3"/>
      <c r="Z36" s="3"/>
    </row>
    <row r="37" ht="18.0" customHeight="1">
      <c r="A37" s="37" t="s">
        <v>24</v>
      </c>
      <c r="B37" s="47">
        <f t="shared" ref="B37:G37" si="16">IF(B7,B36/B7,0)</f>
        <v>1050.116667</v>
      </c>
      <c r="C37" s="48">
        <f t="shared" si="16"/>
        <v>1414.081081</v>
      </c>
      <c r="D37" s="48">
        <f t="shared" si="16"/>
        <v>1594.5</v>
      </c>
      <c r="E37" s="48">
        <f t="shared" si="16"/>
        <v>1217.45098</v>
      </c>
      <c r="F37" s="49">
        <f t="shared" si="16"/>
        <v>1097.571429</v>
      </c>
      <c r="G37" s="50">
        <f t="shared" si="16"/>
        <v>1256.058182</v>
      </c>
      <c r="H37" s="3"/>
      <c r="I37" s="3"/>
      <c r="J37" s="3"/>
      <c r="K37" s="3"/>
      <c r="L37" s="3"/>
      <c r="M37" s="3"/>
      <c r="N37" s="3"/>
      <c r="O37" s="3"/>
      <c r="P37" s="3"/>
      <c r="Q37" s="3"/>
      <c r="R37" s="3"/>
      <c r="S37" s="3"/>
      <c r="T37" s="3"/>
      <c r="U37" s="3"/>
      <c r="V37" s="3"/>
      <c r="W37" s="3"/>
      <c r="X37" s="3"/>
      <c r="Y37" s="3"/>
      <c r="Z37" s="3"/>
    </row>
    <row r="38" ht="18.0" customHeight="1">
      <c r="A38" s="26" t="s">
        <v>25</v>
      </c>
      <c r="B38" s="15"/>
      <c r="C38" s="15"/>
      <c r="D38" s="15"/>
      <c r="E38" s="15"/>
      <c r="F38" s="15"/>
      <c r="G38" s="15"/>
      <c r="H38" s="3"/>
      <c r="I38" s="3"/>
      <c r="J38" s="3"/>
      <c r="K38" s="3"/>
      <c r="L38" s="3"/>
      <c r="M38" s="3"/>
      <c r="N38" s="3"/>
      <c r="O38" s="3"/>
      <c r="P38" s="3"/>
      <c r="Q38" s="3"/>
      <c r="R38" s="3"/>
      <c r="S38" s="3"/>
      <c r="T38" s="3"/>
      <c r="U38" s="3"/>
      <c r="V38" s="3"/>
      <c r="W38" s="3"/>
      <c r="X38" s="3"/>
      <c r="Y38" s="3"/>
      <c r="Z38" s="3"/>
    </row>
    <row r="39" ht="18.0" customHeight="1">
      <c r="A39" s="27" t="str">
        <f t="shared" ref="A39:A46" si="18">A30</f>
        <v>Gadgets</v>
      </c>
      <c r="B39" s="51">
        <f t="shared" ref="B39:F39" si="17">RANK(B19,$B$19:$F$19)</f>
        <v>4</v>
      </c>
      <c r="C39" s="51">
        <f t="shared" si="17"/>
        <v>2</v>
      </c>
      <c r="D39" s="51">
        <f t="shared" si="17"/>
        <v>3</v>
      </c>
      <c r="E39" s="51">
        <f t="shared" si="17"/>
        <v>5</v>
      </c>
      <c r="F39" s="51">
        <f t="shared" si="17"/>
        <v>1</v>
      </c>
      <c r="G39" s="52"/>
      <c r="H39" s="3"/>
      <c r="I39" s="3"/>
      <c r="J39" s="3"/>
      <c r="K39" s="3"/>
      <c r="L39" s="3"/>
      <c r="M39" s="3"/>
      <c r="N39" s="3"/>
      <c r="O39" s="3"/>
      <c r="P39" s="3"/>
      <c r="Q39" s="3"/>
      <c r="R39" s="3"/>
      <c r="S39" s="3"/>
      <c r="T39" s="3"/>
      <c r="U39" s="3"/>
      <c r="V39" s="3"/>
      <c r="W39" s="3"/>
      <c r="X39" s="3"/>
      <c r="Y39" s="3"/>
      <c r="Z39" s="3"/>
    </row>
    <row r="40" ht="18.0" customHeight="1">
      <c r="A40" s="21" t="str">
        <f t="shared" si="18"/>
        <v>Bahbooms</v>
      </c>
      <c r="B40" s="51">
        <f t="shared" ref="B40:F40" si="19">RANK(B20,$B$20:$F$20)</f>
        <v>1</v>
      </c>
      <c r="C40" s="51">
        <f t="shared" si="19"/>
        <v>1</v>
      </c>
      <c r="D40" s="51">
        <f t="shared" si="19"/>
        <v>1</v>
      </c>
      <c r="E40" s="51">
        <f t="shared" si="19"/>
        <v>1</v>
      </c>
      <c r="F40" s="51">
        <f t="shared" si="19"/>
        <v>1</v>
      </c>
      <c r="G40" s="53"/>
      <c r="H40" s="3"/>
      <c r="I40" s="3"/>
      <c r="J40" s="3"/>
      <c r="K40" s="3"/>
      <c r="L40" s="3"/>
      <c r="M40" s="3"/>
      <c r="N40" s="3"/>
      <c r="O40" s="3"/>
      <c r="P40" s="3"/>
      <c r="Q40" s="3"/>
      <c r="R40" s="3"/>
      <c r="S40" s="3"/>
      <c r="T40" s="3"/>
      <c r="U40" s="3"/>
      <c r="V40" s="3"/>
      <c r="W40" s="3"/>
      <c r="X40" s="3"/>
      <c r="Y40" s="3"/>
      <c r="Z40" s="3"/>
    </row>
    <row r="41" ht="18.0" customHeight="1">
      <c r="A41" s="21" t="str">
        <f t="shared" si="18"/>
        <v>Heehaws</v>
      </c>
      <c r="B41" s="51">
        <f t="shared" ref="B41:F41" si="20">RANK(B21,$B$21:$F$21)</f>
        <v>1</v>
      </c>
      <c r="C41" s="51">
        <f t="shared" si="20"/>
        <v>1</v>
      </c>
      <c r="D41" s="51">
        <f t="shared" si="20"/>
        <v>1</v>
      </c>
      <c r="E41" s="51">
        <f t="shared" si="20"/>
        <v>1</v>
      </c>
      <c r="F41" s="51">
        <f t="shared" si="20"/>
        <v>1</v>
      </c>
      <c r="G41" s="53"/>
      <c r="H41" s="3"/>
      <c r="I41" s="3"/>
      <c r="J41" s="3"/>
      <c r="K41" s="3"/>
      <c r="L41" s="3"/>
      <c r="M41" s="3"/>
      <c r="N41" s="3"/>
      <c r="O41" s="3"/>
      <c r="P41" s="3"/>
      <c r="Q41" s="3"/>
      <c r="R41" s="3"/>
      <c r="S41" s="3"/>
      <c r="T41" s="3"/>
      <c r="U41" s="3"/>
      <c r="V41" s="3"/>
      <c r="W41" s="3"/>
      <c r="X41" s="3"/>
      <c r="Y41" s="3"/>
      <c r="Z41" s="3"/>
    </row>
    <row r="42" ht="18.0" customHeight="1">
      <c r="A42" s="21" t="str">
        <f t="shared" si="18"/>
        <v>Doodads</v>
      </c>
      <c r="B42" s="51">
        <f t="shared" ref="B42:F42" si="21">RANK(B22,$B$22:$F$22)</f>
        <v>1</v>
      </c>
      <c r="C42" s="51">
        <f t="shared" si="21"/>
        <v>1</v>
      </c>
      <c r="D42" s="51">
        <f t="shared" si="21"/>
        <v>1</v>
      </c>
      <c r="E42" s="51">
        <f t="shared" si="21"/>
        <v>1</v>
      </c>
      <c r="F42" s="51">
        <f t="shared" si="21"/>
        <v>1</v>
      </c>
      <c r="G42" s="53"/>
      <c r="H42" s="3"/>
      <c r="I42" s="3"/>
      <c r="J42" s="3"/>
      <c r="K42" s="3"/>
      <c r="L42" s="3"/>
      <c r="M42" s="3"/>
      <c r="N42" s="3"/>
      <c r="O42" s="3"/>
      <c r="P42" s="3"/>
      <c r="Q42" s="3"/>
      <c r="R42" s="3"/>
      <c r="S42" s="3"/>
      <c r="T42" s="3"/>
      <c r="U42" s="3"/>
      <c r="V42" s="3"/>
      <c r="W42" s="3"/>
      <c r="X42" s="3"/>
      <c r="Y42" s="3"/>
      <c r="Z42" s="3"/>
    </row>
    <row r="43" ht="18.0" customHeight="1">
      <c r="A43" s="21" t="str">
        <f t="shared" si="18"/>
        <v>Meemaws</v>
      </c>
      <c r="B43" s="51">
        <f t="shared" ref="B43:F43" si="22">RANK(B23,$B$23:$F$23)</f>
        <v>5</v>
      </c>
      <c r="C43" s="51">
        <f t="shared" si="22"/>
        <v>3</v>
      </c>
      <c r="D43" s="51">
        <f t="shared" si="22"/>
        <v>1</v>
      </c>
      <c r="E43" s="51">
        <f t="shared" si="22"/>
        <v>2</v>
      </c>
      <c r="F43" s="51">
        <f t="shared" si="22"/>
        <v>4</v>
      </c>
      <c r="G43" s="53"/>
      <c r="H43" s="3"/>
      <c r="I43" s="3"/>
      <c r="J43" s="3"/>
      <c r="K43" s="3"/>
      <c r="L43" s="3"/>
      <c r="M43" s="3"/>
      <c r="N43" s="3"/>
      <c r="O43" s="3"/>
      <c r="P43" s="3"/>
      <c r="Q43" s="3"/>
      <c r="R43" s="3"/>
      <c r="S43" s="3"/>
      <c r="T43" s="3"/>
      <c r="U43" s="3"/>
      <c r="V43" s="3"/>
      <c r="W43" s="3"/>
      <c r="X43" s="3"/>
      <c r="Y43" s="3"/>
      <c r="Z43" s="3"/>
    </row>
    <row r="44" ht="18.0" customHeight="1">
      <c r="A44" s="21" t="str">
        <f t="shared" si="18"/>
        <v>Whatchamacallits</v>
      </c>
      <c r="B44" s="51">
        <f t="shared" ref="B44:F44" si="23">RANK(B24,$B$24:$F$24)</f>
        <v>3</v>
      </c>
      <c r="C44" s="51">
        <f t="shared" si="23"/>
        <v>2</v>
      </c>
      <c r="D44" s="51">
        <f t="shared" si="23"/>
        <v>1</v>
      </c>
      <c r="E44" s="51">
        <f t="shared" si="23"/>
        <v>5</v>
      </c>
      <c r="F44" s="51">
        <f t="shared" si="23"/>
        <v>4</v>
      </c>
      <c r="G44" s="53"/>
      <c r="H44" s="3"/>
      <c r="I44" s="3"/>
      <c r="J44" s="3"/>
      <c r="K44" s="3"/>
      <c r="L44" s="3"/>
      <c r="M44" s="3"/>
      <c r="N44" s="3"/>
      <c r="O44" s="3"/>
      <c r="P44" s="3"/>
      <c r="Q44" s="3"/>
      <c r="R44" s="3"/>
      <c r="S44" s="3"/>
      <c r="T44" s="3"/>
      <c r="U44" s="3"/>
      <c r="V44" s="3"/>
      <c r="W44" s="3"/>
      <c r="X44" s="3"/>
      <c r="Y44" s="3"/>
      <c r="Z44" s="3"/>
    </row>
    <row r="45" ht="18.0" customHeight="1">
      <c r="A45" s="21" t="str">
        <f t="shared" si="18"/>
        <v>Total Income</v>
      </c>
      <c r="B45" s="51">
        <f t="shared" ref="B45:F45" si="24">RANK(B36,$B$36:$F$36)</f>
        <v>2</v>
      </c>
      <c r="C45" s="51">
        <f t="shared" si="24"/>
        <v>1</v>
      </c>
      <c r="D45" s="51">
        <f t="shared" si="24"/>
        <v>5</v>
      </c>
      <c r="E45" s="51">
        <f t="shared" si="24"/>
        <v>3</v>
      </c>
      <c r="F45" s="51">
        <f t="shared" si="24"/>
        <v>4</v>
      </c>
      <c r="G45" s="53"/>
      <c r="H45" s="3"/>
      <c r="I45" s="3"/>
      <c r="J45" s="3"/>
      <c r="K45" s="3"/>
      <c r="L45" s="3"/>
      <c r="M45" s="3"/>
      <c r="N45" s="3"/>
      <c r="O45" s="3"/>
      <c r="P45" s="3"/>
      <c r="Q45" s="3"/>
      <c r="R45" s="3"/>
      <c r="S45" s="3"/>
      <c r="T45" s="3"/>
      <c r="U45" s="3"/>
      <c r="V45" s="3"/>
      <c r="W45" s="3"/>
      <c r="X45" s="3"/>
      <c r="Y45" s="3"/>
      <c r="Z45" s="3"/>
    </row>
    <row r="46" ht="18.0" customHeight="1">
      <c r="A46" s="21" t="str">
        <f t="shared" si="18"/>
        <v>PRU</v>
      </c>
      <c r="B46" s="51">
        <f t="shared" ref="B46:F46" si="25">RANK(B37,$B$37:$F$37)</f>
        <v>5</v>
      </c>
      <c r="C46" s="51">
        <f t="shared" si="25"/>
        <v>2</v>
      </c>
      <c r="D46" s="51">
        <f t="shared" si="25"/>
        <v>1</v>
      </c>
      <c r="E46" s="51">
        <f t="shared" si="25"/>
        <v>3</v>
      </c>
      <c r="F46" s="51">
        <f t="shared" si="25"/>
        <v>4</v>
      </c>
      <c r="G46" s="53"/>
      <c r="H46" s="3"/>
      <c r="I46" s="3"/>
      <c r="J46" s="3"/>
      <c r="K46" s="3"/>
      <c r="L46" s="3"/>
      <c r="M46" s="3"/>
      <c r="N46" s="3"/>
      <c r="O46" s="3"/>
      <c r="P46" s="3"/>
      <c r="Q46" s="3"/>
      <c r="R46" s="3"/>
      <c r="S46" s="3"/>
      <c r="T46" s="3"/>
      <c r="U46" s="3"/>
      <c r="V46" s="3"/>
      <c r="W46" s="3"/>
      <c r="X46" s="3"/>
      <c r="Y46" s="3"/>
      <c r="Z46" s="3"/>
    </row>
    <row r="47" ht="18.0" customHeight="1">
      <c r="A47" s="21" t="s">
        <v>20</v>
      </c>
      <c r="B47" s="51">
        <f t="shared" ref="B47:F47" si="26">RANK(B25,$B$25:$F$25)</f>
        <v>5</v>
      </c>
      <c r="C47" s="51">
        <f t="shared" si="26"/>
        <v>2</v>
      </c>
      <c r="D47" s="51">
        <f t="shared" si="26"/>
        <v>1</v>
      </c>
      <c r="E47" s="51">
        <f t="shared" si="26"/>
        <v>4</v>
      </c>
      <c r="F47" s="51">
        <f t="shared" si="26"/>
        <v>3</v>
      </c>
      <c r="G47" s="53"/>
      <c r="H47" s="3"/>
      <c r="I47" s="3"/>
      <c r="J47" s="3"/>
      <c r="K47" s="3"/>
      <c r="L47" s="3"/>
      <c r="M47" s="3"/>
      <c r="N47" s="3"/>
      <c r="O47" s="3"/>
      <c r="P47" s="3"/>
      <c r="Q47" s="3"/>
      <c r="R47" s="3"/>
      <c r="S47" s="3"/>
      <c r="T47" s="3"/>
      <c r="U47" s="3"/>
      <c r="V47" s="3"/>
      <c r="W47" s="3"/>
      <c r="X47" s="3"/>
      <c r="Y47" s="3"/>
      <c r="Z47" s="3"/>
    </row>
    <row r="48" ht="18.0" customHeight="1">
      <c r="A48" s="37" t="s">
        <v>21</v>
      </c>
      <c r="B48" s="51">
        <f t="shared" ref="B48:F48" si="27">RANK(B26,$B$26:$F$26)</f>
        <v>5</v>
      </c>
      <c r="C48" s="51">
        <f t="shared" si="27"/>
        <v>2</v>
      </c>
      <c r="D48" s="51">
        <f t="shared" si="27"/>
        <v>1</v>
      </c>
      <c r="E48" s="51">
        <f t="shared" si="27"/>
        <v>4</v>
      </c>
      <c r="F48" s="51">
        <f t="shared" si="27"/>
        <v>3</v>
      </c>
      <c r="G48" s="54"/>
      <c r="H48" s="3"/>
      <c r="I48" s="3"/>
      <c r="J48" s="3"/>
      <c r="K48" s="3"/>
      <c r="L48" s="3"/>
      <c r="M48" s="3"/>
      <c r="N48" s="3"/>
      <c r="O48" s="3"/>
      <c r="P48" s="3"/>
      <c r="Q48" s="3"/>
      <c r="R48" s="3"/>
      <c r="S48" s="3"/>
      <c r="T48" s="3"/>
      <c r="U48" s="3"/>
      <c r="V48" s="3"/>
      <c r="W48" s="3"/>
      <c r="X48" s="3"/>
      <c r="Y48" s="3"/>
      <c r="Z48" s="3"/>
    </row>
    <row r="49" ht="18.0" customHeight="1">
      <c r="A49" s="26" t="s">
        <v>26</v>
      </c>
      <c r="B49" s="15"/>
      <c r="C49" s="15"/>
      <c r="D49" s="15"/>
      <c r="E49" s="15"/>
      <c r="F49" s="15"/>
      <c r="G49" s="15"/>
      <c r="H49" s="3"/>
      <c r="I49" s="3"/>
      <c r="J49" s="3"/>
      <c r="K49" s="3"/>
      <c r="L49" s="3"/>
      <c r="M49" s="3"/>
      <c r="N49" s="3"/>
      <c r="O49" s="3"/>
      <c r="P49" s="3"/>
      <c r="Q49" s="3"/>
      <c r="R49" s="3"/>
      <c r="S49" s="3"/>
      <c r="T49" s="3"/>
      <c r="U49" s="3"/>
      <c r="V49" s="3"/>
      <c r="W49" s="3"/>
      <c r="X49" s="3"/>
      <c r="Y49" s="3"/>
      <c r="Z49" s="3"/>
    </row>
    <row r="50" ht="18.0" customHeight="1">
      <c r="A50" s="27" t="s">
        <v>27</v>
      </c>
      <c r="B50" s="55">
        <f t="shared" ref="B50:F50" si="28">SUM(B39:B48)</f>
        <v>32</v>
      </c>
      <c r="C50" s="56">
        <f t="shared" si="28"/>
        <v>17</v>
      </c>
      <c r="D50" s="56">
        <f t="shared" si="28"/>
        <v>16</v>
      </c>
      <c r="E50" s="56">
        <f t="shared" si="28"/>
        <v>29</v>
      </c>
      <c r="F50" s="57">
        <f t="shared" si="28"/>
        <v>26</v>
      </c>
      <c r="G50" s="58"/>
      <c r="H50" s="3"/>
      <c r="I50" s="3"/>
      <c r="J50" s="3"/>
      <c r="K50" s="3"/>
      <c r="L50" s="3"/>
      <c r="M50" s="3"/>
      <c r="N50" s="3"/>
      <c r="O50" s="3"/>
      <c r="P50" s="3"/>
      <c r="Q50" s="3"/>
      <c r="R50" s="3"/>
      <c r="S50" s="3"/>
      <c r="T50" s="3"/>
      <c r="U50" s="3"/>
      <c r="V50" s="3"/>
      <c r="W50" s="3"/>
      <c r="X50" s="3"/>
      <c r="Y50" s="3"/>
      <c r="Z50" s="3"/>
    </row>
    <row r="51" ht="18.0" customHeight="1">
      <c r="A51" s="37" t="s">
        <v>28</v>
      </c>
      <c r="B51" s="59">
        <f>RANK(B50,B50:F50,1)</f>
        <v>5</v>
      </c>
      <c r="C51" s="60">
        <f>RANK(C50,B50:F50,1)</f>
        <v>2</v>
      </c>
      <c r="D51" s="60">
        <f>RANK(D50,B50:F50,1)</f>
        <v>1</v>
      </c>
      <c r="E51" s="60">
        <f>RANK(E50,B50:F50,1)</f>
        <v>4</v>
      </c>
      <c r="F51" s="61">
        <f>RANK(F50,B50:F50,1)</f>
        <v>3</v>
      </c>
      <c r="G51" s="62"/>
      <c r="H51" s="3"/>
      <c r="I51" s="3"/>
      <c r="J51" s="3"/>
      <c r="K51" s="3"/>
      <c r="L51" s="3"/>
      <c r="M51" s="3"/>
      <c r="N51" s="3"/>
      <c r="O51" s="3"/>
      <c r="P51" s="3"/>
      <c r="Q51" s="3"/>
      <c r="R51" s="3"/>
      <c r="S51" s="3"/>
      <c r="T51" s="3"/>
      <c r="U51" s="3"/>
      <c r="V51" s="3"/>
      <c r="W51" s="3"/>
      <c r="X51" s="3"/>
      <c r="Y51" s="3"/>
      <c r="Z51" s="3"/>
    </row>
    <row r="52" ht="15.75" customHeight="1">
      <c r="A52" s="63"/>
      <c r="B52" s="63"/>
      <c r="C52" s="63"/>
      <c r="D52" s="63"/>
      <c r="E52" s="63"/>
      <c r="F52" s="63"/>
      <c r="G52" s="63"/>
      <c r="H52" s="3"/>
      <c r="I52" s="3"/>
      <c r="J52" s="3"/>
      <c r="K52" s="3"/>
      <c r="L52" s="3"/>
      <c r="M52" s="3"/>
      <c r="N52" s="3"/>
      <c r="O52" s="3"/>
      <c r="P52" s="3"/>
      <c r="Q52" s="3"/>
      <c r="R52" s="3"/>
      <c r="S52" s="3"/>
      <c r="T52" s="3"/>
      <c r="U52" s="3"/>
      <c r="V52" s="3"/>
      <c r="W52" s="3"/>
      <c r="X52" s="3"/>
      <c r="Y52" s="3"/>
      <c r="Z52" s="3"/>
    </row>
    <row r="53" ht="19.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9.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9.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9.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9.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9.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9.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9.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9.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9.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9.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9.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9.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9.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9.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9.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9.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9.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9.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9.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9.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9.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9.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9.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9.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9.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9.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9.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9.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9.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9.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9.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9.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9.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9.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9.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9.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9.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9.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9.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9.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9.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9.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9.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9.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9.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9.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9.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9.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9.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9.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9.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9.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9.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9.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9.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9.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9.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9.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9.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9.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9.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9.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9.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9.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9.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9.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9.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9.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9.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9.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9.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9.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51:F51">
    <cfRule type="colorScale" priority="1">
      <colorScale>
        <cfvo type="min"/>
        <cfvo type="percentile" val="50"/>
        <cfvo type="max"/>
        <color rgb="FF63BE7B"/>
        <color rgb="FFFFEB84"/>
        <color rgb="FFF8696B"/>
      </colorScale>
    </cfRule>
  </conditionalFormatting>
  <conditionalFormatting sqref="B39:F48">
    <cfRule type="colorScale" priority="2">
      <colorScale>
        <cfvo type="min"/>
        <cfvo type="percentile" val="50"/>
        <cfvo type="max"/>
        <color rgb="FF63BE7B"/>
        <color rgb="FFFFEB84"/>
        <color rgb="FFF8696B"/>
      </colorScale>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s>
  <sheetData>
    <row r="1">
      <c r="A1" s="64" t="s">
        <v>29</v>
      </c>
      <c r="B1" s="65" t="s">
        <v>23</v>
      </c>
    </row>
    <row r="2">
      <c r="A2" s="66" t="s">
        <v>3</v>
      </c>
      <c r="B2" s="67">
        <v>63007.0</v>
      </c>
    </row>
    <row r="3">
      <c r="A3" s="66" t="s">
        <v>4</v>
      </c>
      <c r="B3" s="67">
        <v>104642.0</v>
      </c>
    </row>
    <row r="4">
      <c r="A4" s="66" t="s">
        <v>5</v>
      </c>
      <c r="B4" s="67">
        <v>54213.0</v>
      </c>
    </row>
    <row r="5">
      <c r="A5" s="66" t="s">
        <v>6</v>
      </c>
      <c r="B5" s="67">
        <v>62090.0</v>
      </c>
    </row>
    <row r="6">
      <c r="A6" s="66" t="s">
        <v>7</v>
      </c>
      <c r="B6" s="68">
        <v>61464.0</v>
      </c>
    </row>
    <row r="7">
      <c r="A7" s="69" t="s">
        <v>8</v>
      </c>
      <c r="B7" s="68">
        <v>345416.0</v>
      </c>
    </row>
    <row r="17" ht="47.25" customHeight="1">
      <c r="A17" s="70" t="s">
        <v>30</v>
      </c>
      <c r="J17" s="71"/>
      <c r="K17" s="71"/>
      <c r="L17" s="71"/>
      <c r="M17" s="71"/>
      <c r="N17" s="71"/>
      <c r="O17" s="71"/>
      <c r="P17" s="71"/>
      <c r="Q17" s="71"/>
      <c r="R17" s="71"/>
      <c r="S17" s="71"/>
      <c r="T17" s="71"/>
      <c r="U17" s="71"/>
      <c r="V17" s="71"/>
      <c r="W17" s="71"/>
      <c r="X17" s="71"/>
      <c r="Y17" s="71"/>
      <c r="Z17" s="71"/>
    </row>
    <row r="18">
      <c r="A18" s="72" t="s">
        <v>31</v>
      </c>
    </row>
    <row r="19">
      <c r="A19" s="73" t="s">
        <v>32</v>
      </c>
      <c r="B19" s="74" t="s">
        <v>27</v>
      </c>
      <c r="C19" s="74" t="s">
        <v>28</v>
      </c>
    </row>
    <row r="20">
      <c r="A20" s="75" t="s">
        <v>3</v>
      </c>
      <c r="B20" s="76">
        <v>32.0</v>
      </c>
      <c r="C20" s="76">
        <v>5.0</v>
      </c>
    </row>
    <row r="21">
      <c r="A21" s="75" t="s">
        <v>4</v>
      </c>
      <c r="B21" s="76">
        <v>17.0</v>
      </c>
      <c r="C21" s="76">
        <v>2.0</v>
      </c>
    </row>
    <row r="22">
      <c r="A22" s="75" t="s">
        <v>5</v>
      </c>
      <c r="B22" s="76">
        <v>16.0</v>
      </c>
      <c r="C22" s="76">
        <v>1.0</v>
      </c>
    </row>
    <row r="23">
      <c r="A23" s="75" t="s">
        <v>6</v>
      </c>
      <c r="B23" s="76">
        <v>29.0</v>
      </c>
      <c r="C23" s="76">
        <v>4.0</v>
      </c>
    </row>
    <row r="24">
      <c r="A24" s="75" t="s">
        <v>7</v>
      </c>
      <c r="B24" s="76">
        <v>26.0</v>
      </c>
      <c r="C24" s="76">
        <v>3.0</v>
      </c>
    </row>
    <row r="25">
      <c r="A25" s="77"/>
      <c r="B25" s="77"/>
      <c r="C25" s="77"/>
      <c r="D25" s="77"/>
      <c r="E25" s="77"/>
    </row>
    <row r="26">
      <c r="A26" s="77"/>
      <c r="B26" s="77"/>
      <c r="C26" s="77"/>
      <c r="D26" s="77"/>
      <c r="E26" s="77"/>
    </row>
    <row r="27" ht="30.75" customHeight="1">
      <c r="A27" s="70" t="s">
        <v>33</v>
      </c>
    </row>
    <row r="42">
      <c r="G42" s="77" t="s">
        <v>34</v>
      </c>
    </row>
  </sheetData>
  <customSheetViews>
    <customSheetView guid="{56BB1524-7204-4D0A-B215-0743F716DE24}" filter="1" showAutoFilter="1">
      <autoFilter ref="$A$19:$C$24"/>
    </customSheetView>
  </customSheetViews>
  <mergeCells count="4">
    <mergeCell ref="A17:I17"/>
    <mergeCell ref="A27:E27"/>
    <mergeCell ref="A18:C18"/>
    <mergeCell ref="G42:K42"/>
  </mergeCells>
  <drawing r:id="rId1"/>
  <tableParts count="1">
    <tablePart r:id="rId3"/>
  </tableParts>
  <extLst>
    <ext uri="{3A4CF648-6AED-40f4-86FF-DC5316D8AED3}">
      <x14:slicerList>
        <x14:slicer r:id="rId4"/>
      </x14:slicerList>
    </ext>
  </extLst>
</worksheet>
</file>